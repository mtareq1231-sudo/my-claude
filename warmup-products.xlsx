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منتجات" sheetId="1" state="visible" r:id="rId1"/>
  </sheets>
  <definedNames>
    <definedName name="_xlnm._FilterDatabase" localSheetId="0" hidden="1">'المنتجات'!$A$6:$H$75</definedName>
    <definedName name="_xlnm.Print_Titles" localSheetId="0">'المنتجات'!$6:$6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;(#,##0.000);-"/>
    <numFmt numFmtId="165" formatCode="0.0%;(0.0%);-"/>
  </numFmts>
  <fonts count="11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color rgb="007F6000"/>
      <sz val="10"/>
    </font>
    <font>
      <name val="Arial"/>
      <color rgb="00C00000"/>
      <sz val="10"/>
    </font>
    <font>
      <name val="Arial"/>
      <b val="1"/>
      <color rgb="00FFFFFF"/>
      <sz val="11"/>
    </font>
    <font>
      <name val="Arial"/>
      <color rgb="00808080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color rgb="000563C1"/>
      <sz val="10"/>
      <u val="single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right"/>
    </xf>
    <xf numFmtId="0" fontId="3" fillId="2" borderId="0" applyAlignment="1" pivotButton="0" quotePrefix="0" xfId="0">
      <alignment horizontal="right" vertical="center" wrapText="1"/>
    </xf>
    <xf numFmtId="0" fontId="4" fillId="0" borderId="0" applyAlignment="1" pivotButton="0" quotePrefix="0" xfId="0">
      <alignment horizontal="right"/>
    </xf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right" vertical="center"/>
    </xf>
    <xf numFmtId="164" fontId="7" fillId="0" borderId="1" pivotButton="0" quotePrefix="0" xfId="0"/>
    <xf numFmtId="164" fontId="8" fillId="2" borderId="1" pivotButton="0" quotePrefix="0" xfId="0"/>
    <xf numFmtId="164" fontId="9" fillId="0" borderId="1" pivotButton="0" quotePrefix="0" xfId="0"/>
    <xf numFmtId="165" fontId="7" fillId="0" borderId="1" pivotButton="0" quotePrefix="0" xfId="0"/>
    <xf numFmtId="0" fontId="10" fillId="0" borderId="1" applyAlignment="1" pivotButton="0" quotePrefix="0" xfId="0">
      <alignment horizontal="right"/>
    </xf>
    <xf numFmtId="0" fontId="6" fillId="4" borderId="1" applyAlignment="1" pivotButton="0" quotePrefix="0" xfId="0">
      <alignment horizontal="center"/>
    </xf>
    <xf numFmtId="0" fontId="7" fillId="4" borderId="1" applyAlignment="1" pivotButton="0" quotePrefix="0" xfId="0">
      <alignment horizontal="right" vertical="center"/>
    </xf>
    <xf numFmtId="164" fontId="7" fillId="4" borderId="1" pivotButton="0" quotePrefix="0" xfId="0"/>
    <xf numFmtId="164" fontId="9" fillId="4" borderId="1" pivotButton="0" quotePrefix="0" xfId="0"/>
    <xf numFmtId="165" fontId="7" fillId="4" borderId="1" pivotButton="0" quotePrefix="0" xfId="0"/>
    <xf numFmtId="0" fontId="10" fillId="4" borderId="1" applyAlignment="1" pivotButton="0" quotePrefix="0" xfId="0">
      <alignment horizontal="right"/>
    </xf>
    <xf numFmtId="164" fontId="7" fillId="5" borderId="1" pivotButton="0" quotePrefix="0" xfId="0"/>
    <xf numFmtId="0" fontId="5" fillId="3" borderId="1" pivotButton="0" quotePrefix="0" xfId="0"/>
    <xf numFmtId="0" fontId="5" fillId="3" borderId="1" applyAlignment="1" pivotButton="0" quotePrefix="0" xfId="0">
      <alignment horizontal="right"/>
    </xf>
    <xf numFmtId="164" fontId="5" fillId="3" borderId="1" pivotButton="0" quotePrefix="0" xfId="0"/>
    <xf numFmtId="165" fontId="5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Warmup</author>
  </authors>
  <commentList>
    <comment ref="D6" authorId="0" shapeId="0">
      <text>
        <t>املأ هذا العمود بسعر تكلفة القطعة الواحدة.</t>
      </text>
    </comment>
    <comment ref="E6" authorId="0" shapeId="0">
      <text>
        <t>الربح = السعر − التكلفة (يُحسب تلقائياً).</t>
      </text>
    </comment>
    <comment ref="C10" authorId="0" shapeId="0">
      <text>
        <t>السعر مضبوط على 0.000 في شوبيفاي — يحتاج مراجعة.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armupjo.com/products/treadmill-w7111" TargetMode="External" Id="rId1" /><Relationship Type="http://schemas.openxmlformats.org/officeDocument/2006/relationships/hyperlink" Target="https://cdn.shopify.com/s/files/1/0746/8256/4804/files/magnific_highquality-studio-produc_YVZvdHoWeC.png?v=1784051142" TargetMode="External" Id="rId2" /><Relationship Type="http://schemas.openxmlformats.org/officeDocument/2006/relationships/hyperlink" Target="https://warmupjo.com/products/%D8%A7%D8%B1%D8%B6%D9%8A%D8%A7%D8%AA-%D8%B1%D8%A8%D8%B1-1-5cm" TargetMode="External" Id="rId3" /><Relationship Type="http://schemas.openxmlformats.org/officeDocument/2006/relationships/hyperlink" Target="https://cdn.shopify.com/s/files/1/0746/8256/4804/files/Photoroom_20260717_155149_63b8d9c1-909e-4e50-8d6c-196447a3546d.jpg?v=1784293206" TargetMode="External" Id="rId4" /><Relationship Type="http://schemas.openxmlformats.org/officeDocument/2006/relationships/hyperlink" Target="https://warmupjo.com/products/%D8%A7%D8%B1%D8%B6%D9%8A%D8%A7%D8%AA-%D8%B1%D8%A8%D8%B1-2-5cm" TargetMode="External" Id="rId5" /><Relationship Type="http://schemas.openxmlformats.org/officeDocument/2006/relationships/hyperlink" Target="https://cdn.shopify.com/s/files/1/0746/8256/4804/files/Photoroom_20260717_155149.jpg?v=1784292963" TargetMode="External" Id="rId6" /><Relationship Type="http://schemas.openxmlformats.org/officeDocument/2006/relationships/hyperlink" Target="https://warmupjo.com/products/%D8%A7%D8%B1%D8%B6%D9%8A%D8%A7%D8%AA-%D9%81%D9%88%D9%85-2-5cm" TargetMode="External" Id="rId7" /><Relationship Type="http://schemas.openxmlformats.org/officeDocument/2006/relationships/hyperlink" Target="https://cdn.shopify.com/s/files/1/0746/8256/4804/files/Photoroom_20260717_171132.jpg?v=1784297565" TargetMode="External" Id="rId8" /><Relationship Type="http://schemas.openxmlformats.org/officeDocument/2006/relationships/hyperlink" Target="https://warmupjo.com/products/%D8%A7%D8%B1%D8%B6%D9%8A%D8%A7%D8%AA-%D9%83%D9%88%D8%B4%D9%88%D9%83-2-5cm" TargetMode="External" Id="rId9" /><Relationship Type="http://schemas.openxmlformats.org/officeDocument/2006/relationships/hyperlink" Target="https://cdn.shopify.com/s/files/1/0746/8256/4804/files/Photoroom_20260717_165928.jpg?v=1784296801" TargetMode="External" Id="rId10" /><Relationship Type="http://schemas.openxmlformats.org/officeDocument/2006/relationships/hyperlink" Target="https://warmupjo.com/products/%D8%A7%D8%B3%D8%AA%D9%8A%D9%83%D8%A9-%D8%A8%D8%A8%D9%84%D9%8A%D8%A7%D8%B1%D8%AF%D9%88" TargetMode="External" Id="rId11" /><Relationship Type="http://schemas.openxmlformats.org/officeDocument/2006/relationships/hyperlink" Target="https://cdn.shopify.com/s/files/1/0746/8256/4804/files/Photoroom_20260721_234300.jpg?v=1784666782" TargetMode="External" Id="rId12" /><Relationship Type="http://schemas.openxmlformats.org/officeDocument/2006/relationships/hyperlink" Target="https://warmupjo.com/products/%D8%A7%D8%B3%D8%AA%D9%8A%D9%83%D8%A9-%D8%A8%D9%84%D9%8A%D8%A7%D8%B1%D8%AF%D9%88" TargetMode="External" Id="rId13" /><Relationship Type="http://schemas.openxmlformats.org/officeDocument/2006/relationships/hyperlink" Target="https://cdn.shopify.com/s/files/1/0746/8256/4804/files/Photoroom_20260721_235253.jpg?v=1784667461" TargetMode="External" Id="rId14" /><Relationship Type="http://schemas.openxmlformats.org/officeDocument/2006/relationships/hyperlink" Target="https://warmupjo.com/products/%D8%A7%D8%B3%D8%AA%D9%8A%D9%83%D8%A9-%D8%A8%D9%84%D9%8A%D8%A7%D8%B1%D8%AF%D9%88-1" TargetMode="External" Id="rId15" /><Relationship Type="http://schemas.openxmlformats.org/officeDocument/2006/relationships/hyperlink" Target="https://cdn.shopify.com/s/files/1/0746/8256/4804/files/Photoroom_20260722_000300.jpg?v=1784668107" TargetMode="External" Id="rId16" /><Relationship Type="http://schemas.openxmlformats.org/officeDocument/2006/relationships/hyperlink" Target="https://warmupjo.com/products/%D8%A7%D8%B3%D8%AA%D9%8A%D9%83%D8%A9-%D8%A8%D9%84%D9%8A%D8%A7%D8%B1%D8%AF%D9%88-2" TargetMode="External" Id="rId17" /><Relationship Type="http://schemas.openxmlformats.org/officeDocument/2006/relationships/hyperlink" Target="https://cdn.shopify.com/s/files/1/0746/8256/4804/files/Photoroom_20260722_000429.jpg?v=1784668204" TargetMode="External" Id="rId18" /><Relationship Type="http://schemas.openxmlformats.org/officeDocument/2006/relationships/hyperlink" Target="https://warmupjo.com/products/%D8%A7%D9%86%D8%A7%D8%B1%D8%A9-%D8%AB%D9%84%D8%A7%D8%AB%D9%8A%D8%A9-%D9%84%D8%B7%D8%A7%D9%88%D9%84%D8%A9-%D8%A7%D9%84%D8%A8%D9%84%D9%8A%D8%A7%D8%B1%D8%AF%D9%88" TargetMode="External" Id="rId19" /><Relationship Type="http://schemas.openxmlformats.org/officeDocument/2006/relationships/hyperlink" Target="https://cdn.shopify.com/s/files/1/0746/8256/4804/files/Photoroom_20260721_203414.jpg?v=1784655453" TargetMode="External" Id="rId20" /><Relationship Type="http://schemas.openxmlformats.org/officeDocument/2006/relationships/hyperlink" Target="https://warmupjo.com/products/%D8%A8%D9%86%D8%B4-%D8%AD%D8%B1" TargetMode="External" Id="rId21" /><Relationship Type="http://schemas.openxmlformats.org/officeDocument/2006/relationships/hyperlink" Target="https://cdn.shopify.com/s/files/1/0746/8256/4804/files/Photoroom_20260722_1715432.jpg?v=1784729942" TargetMode="External" Id="rId22" /><Relationship Type="http://schemas.openxmlformats.org/officeDocument/2006/relationships/hyperlink" Target="https://warmupjo.com/products/%D8%A8%D9%86%D8%B4-%D9%82%D8%A7%D8%A8%D9%84-%D9%84%D9%84%D8%AA%D8%B9%D8%AF%D9%8A%D9%84" TargetMode="External" Id="rId23" /><Relationship Type="http://schemas.openxmlformats.org/officeDocument/2006/relationships/hyperlink" Target="https://cdn.shopify.com/s/files/1/0746/8256/4804/files/Photoroom_20260720_180825.jpg?v=1784561362" TargetMode="External" Id="rId24" /><Relationship Type="http://schemas.openxmlformats.org/officeDocument/2006/relationships/hyperlink" Target="https://warmupjo.com/products/%D8%A8%D9%86%D8%B4-%D9%85%D8%AA%D8%AD%D8%B1%D9%83-%D8%AB%D9%82%D9%8A%D9%84" TargetMode="External" Id="rId25" /><Relationship Type="http://schemas.openxmlformats.org/officeDocument/2006/relationships/hyperlink" Target="https://cdn.shopify.com/s/files/1/0746/8256/4804/files/Photoroom_20260720_011000.jpg?v=1784500608" TargetMode="External" Id="rId26" /><Relationship Type="http://schemas.openxmlformats.org/officeDocument/2006/relationships/hyperlink" Target="https://warmupjo.com/products/%D8%A8%D9%86%D8%B4-%D9%85%D8%B9-%D8%B1%D9%83%D8%A7%D9%8A%D8%A9-%D8%A8%D8%A7%D9%8A" TargetMode="External" Id="rId27" /><Relationship Type="http://schemas.openxmlformats.org/officeDocument/2006/relationships/hyperlink" Target="https://cdn.shopify.com/s/files/1/0746/8256/4804/files/Photoroom_20260720_013342.jpg?v=1784501603" TargetMode="External" Id="rId28" /><Relationship Type="http://schemas.openxmlformats.org/officeDocument/2006/relationships/hyperlink" Target="https://warmupjo.com/products/%D8%A8%D9%88%D8%B1%D8%AF-%D8%B3%D9%84%D8%A9-%D8%A7%D9%83%D8%B1%D9%84%D9%8A%D9%83" TargetMode="External" Id="rId29" /><Relationship Type="http://schemas.openxmlformats.org/officeDocument/2006/relationships/hyperlink" Target="https://cdn.shopify.com/s/files/1/0746/8256/4804/files/Photoroom_20260722_141245.jpg?v=1784720161" TargetMode="External" Id="rId30" /><Relationship Type="http://schemas.openxmlformats.org/officeDocument/2006/relationships/hyperlink" Target="https://warmupjo.com/products/%D8%A8%D9%88%D8%B1%D8%AF-%D8%B3%D9%84%D8%A9-%D9%81%D9%88%D9%85%D9%8A%D8%B1" TargetMode="External" Id="rId31" /><Relationship Type="http://schemas.openxmlformats.org/officeDocument/2006/relationships/hyperlink" Target="https://cdn.shopify.com/s/files/1/0746/8256/4804/files/Photoroom_20260717_140740.jpg?v=1784286563" TargetMode="External" Id="rId32" /><Relationship Type="http://schemas.openxmlformats.org/officeDocument/2006/relationships/hyperlink" Target="https://warmupjo.com/products/soccer-table" TargetMode="External" Id="rId33" /><Relationship Type="http://schemas.openxmlformats.org/officeDocument/2006/relationships/hyperlink" Target="https://cdn.shopify.com/s/files/1/0746/8256/4804/files/magnific_professional-product-phot_pocI0jYehw.jpg?v=1783790050" TargetMode="External" Id="rId34" /><Relationship Type="http://schemas.openxmlformats.org/officeDocument/2006/relationships/hyperlink" Target="https://warmupjo.com/products/%D8%A8%D9%8A%D8%A8%D9%8A-%D9%81%D9%88%D8%AA-55-%D9%83%D8%AC%D9%85" TargetMode="External" Id="rId35" /><Relationship Type="http://schemas.openxmlformats.org/officeDocument/2006/relationships/hyperlink" Target="https://cdn.shopify.com/s/files/1/0746/8256/4804/files/Photoroom_20260722_153119.jpg?v=1784723647" TargetMode="External" Id="rId36" /><Relationship Type="http://schemas.openxmlformats.org/officeDocument/2006/relationships/hyperlink" Target="https://warmupjo.com/products/vibration-machines" TargetMode="External" Id="rId37" /><Relationship Type="http://schemas.openxmlformats.org/officeDocument/2006/relationships/hyperlink" Target="https://cdn.shopify.com/s/files/1/0746/8256/4804/files/magnific_use-the-blue-tranpline-fr_swqOPEdl8e.png?v=1783019522" TargetMode="External" Id="rId38" /><Relationship Type="http://schemas.openxmlformats.org/officeDocument/2006/relationships/hyperlink" Target="https://warmupjo.com/products/treadmill-w7500" TargetMode="External" Id="rId39" /><Relationship Type="http://schemas.openxmlformats.org/officeDocument/2006/relationships/hyperlink" Target="https://cdn.shopify.com/s/files/1/0746/8256/4804/files/magnific_highquality-product-photo_jS5RJWBLD0.png?v=1784051051" TargetMode="External" Id="rId40" /><Relationship Type="http://schemas.openxmlformats.org/officeDocument/2006/relationships/hyperlink" Target="https://warmupjo.com/products/%D8%AC%D9%87%D8%A7%D8%B2-%D8%B1%D9%83%D8%B6-w970" TargetMode="External" Id="rId41" /><Relationship Type="http://schemas.openxmlformats.org/officeDocument/2006/relationships/hyperlink" Target="https://cdn.shopify.com/s/files/1/0746/8256/4804/files/Photoroom_20260722_182739.jpg?v=1784738161" TargetMode="External" Id="rId42" /><Relationship Type="http://schemas.openxmlformats.org/officeDocument/2006/relationships/hyperlink" Target="https://warmupjo.com/products/elliptical-cross-trainer" TargetMode="External" Id="rId43" /><Relationship Type="http://schemas.openxmlformats.org/officeDocument/2006/relationships/hyperlink" Target="https://cdn.shopify.com/s/files/1/0746/8256/4804/files/Asset49.webp?v=1783019315" TargetMode="External" Id="rId44" /><Relationship Type="http://schemas.openxmlformats.org/officeDocument/2006/relationships/hyperlink" Target="https://warmupjo.com/products/cross-machine-white" TargetMode="External" Id="rId45" /><Relationship Type="http://schemas.openxmlformats.org/officeDocument/2006/relationships/hyperlink" Target="https://cdn.shopify.com/s/files/1/0746/8256/4804/files/magnific_rear-threequarter-angle-v_rlqSFUdxtc.png?v=1783789754" TargetMode="External" Id="rId46" /><Relationship Type="http://schemas.openxmlformats.org/officeDocument/2006/relationships/hyperlink" Target="https://warmupjo.com/products/creazy-black" TargetMode="External" Id="rId47" /><Relationship Type="http://schemas.openxmlformats.org/officeDocument/2006/relationships/hyperlink" Target="https://cdn.shopify.com/s/files/1/0746/8256/4804/files/magnific_professional-product-phot_YVZDKRpWeC.jpg?v=1783852079" TargetMode="External" Id="rId48" /><Relationship Type="http://schemas.openxmlformats.org/officeDocument/2006/relationships/hyperlink" Target="https://warmupjo.com/products/crazy-vibration-mini" TargetMode="External" Id="rId49" /><Relationship Type="http://schemas.openxmlformats.org/officeDocument/2006/relationships/hyperlink" Target="https://cdn.shopify.com/s/files/1/0746/8256/4804/files/magnific_professional-product-phot_BmcaNIfoQR.png?v=1783008617" TargetMode="External" Id="rId50" /><Relationship Type="http://schemas.openxmlformats.org/officeDocument/2006/relationships/hyperlink" Target="https://warmupjo.com/products/mini-trampoline-handlebar-blue" TargetMode="External" Id="rId51" /><Relationship Type="http://schemas.openxmlformats.org/officeDocument/2006/relationships/hyperlink" Target="https://cdn.shopify.com/s/files/1/0746/8256/4804/files/Asset4.webp?v=1783022528" TargetMode="External" Id="rId52" /><Relationship Type="http://schemas.openxmlformats.org/officeDocument/2006/relationships/hyperlink" Target="https://warmupjo.com/products/falt-treadmail-no-holder" TargetMode="External" Id="rId53" /><Relationship Type="http://schemas.openxmlformats.org/officeDocument/2006/relationships/hyperlink" Target="https://cdn.shopify.com/s/files/1/0746/8256/4804/files/magnific__clean-white-studio-product-shot-of-the-treadmill-f__16308_2c4c86bc-54b1-4180-9878-069ae0da6c0a.png?v=1783014571" TargetMode="External" Id="rId54" /><Relationship Type="http://schemas.openxmlformats.org/officeDocument/2006/relationships/hyperlink" Target="https://warmupjo.com/products/flat-treadmill" TargetMode="External" Id="rId55" /><Relationship Type="http://schemas.openxmlformats.org/officeDocument/2006/relationships/hyperlink" Target="https://cdn.shopify.com/s/files/1/0746/8256/4804/files/Asset27.webp?v=1783014421" TargetMode="External" Id="rId56" /><Relationship Type="http://schemas.openxmlformats.org/officeDocument/2006/relationships/hyperlink" Target="https://warmupjo.com/products/%D8%AC%D9%87%D8%A7%D8%B2-%D9%85%D8%B4%D9%8A-%D9%81%D9%84%D8%A7%D8%AA" TargetMode="External" Id="rId57" /><Relationship Type="http://schemas.openxmlformats.org/officeDocument/2006/relationships/hyperlink" Target="https://cdn.shopify.com/s/files/1/0746/8256/4804/files/Photoroom_20260722_172519.jpg?v=1784730535" TargetMode="External" Id="rId58" /><Relationship Type="http://schemas.openxmlformats.org/officeDocument/2006/relationships/hyperlink" Target="https://warmupjo.com/products/%D8%AC%D9%87%D8%A7%D8%B2-%D9%85%D8%B4%D9%8A-%D9%81%D9%84%D8%A7%D8%AA-1" TargetMode="External" Id="rId59" /><Relationship Type="http://schemas.openxmlformats.org/officeDocument/2006/relationships/hyperlink" Target="https://cdn.shopify.com/s/files/1/0746/8256/4804/files/Photoroom_20260722_180324.jpg?v=1784732906" TargetMode="External" Id="rId60" /><Relationship Type="http://schemas.openxmlformats.org/officeDocument/2006/relationships/hyperlink" Target="https://warmupjo.com/products/%D8%AF%D8%A7%D9%85%D8%A8%D9%84%D8%B2-%D8%B1%D8%A8%D8%B1-%D9%85%D8%B9-%D9%88%D8%B5%D9%84%D8%A9-%D8%A8%D8%A7%D8%B1-%D8%A7%D9%84%D8%A3%D8%B5%D9%84%D9%8A%D8%A9" TargetMode="External" Id="rId61" /><Relationship Type="http://schemas.openxmlformats.org/officeDocument/2006/relationships/hyperlink" Target="https://cdn.shopify.com/s/files/1/0746/8256/4804/files/Photoroom_20260716_175208.jpg?v=1784213641" TargetMode="External" Id="rId62" /><Relationship Type="http://schemas.openxmlformats.org/officeDocument/2006/relationships/hyperlink" Target="https://warmupjo.com/products/mini-dumbbells-set-multicolor" TargetMode="External" Id="rId63" /><Relationship Type="http://schemas.openxmlformats.org/officeDocument/2006/relationships/hyperlink" Target="https://cdn.shopify.com/s/files/1/0746/8256/4804/files/magnific_professional-product-phot_5xasdTqKxe.png?v=1783018753" TargetMode="External" Id="rId64" /><Relationship Type="http://schemas.openxmlformats.org/officeDocument/2006/relationships/hyperlink" Target="https://warmupjo.com/products/spinning-bike-black-red" TargetMode="External" Id="rId65" /><Relationship Type="http://schemas.openxmlformats.org/officeDocument/2006/relationships/hyperlink" Target="https://cdn.shopify.com/s/files/1/0746/8256/4804/files/magnific_professional-product-phot_0pRBdfnTfW.png?v=1783018609" TargetMode="External" Id="rId66" /><Relationship Type="http://schemas.openxmlformats.org/officeDocument/2006/relationships/hyperlink" Target="https://warmupjo.com/products/spinning-bike-yellow-new-listing" TargetMode="External" Id="rId67" /><Relationship Type="http://schemas.openxmlformats.org/officeDocument/2006/relationships/hyperlink" Target="https://cdn.shopify.com/s/files/1/0746/8256/4804/files/Asset13.webp?v=1783018179" TargetMode="External" Id="rId68" /><Relationship Type="http://schemas.openxmlformats.org/officeDocument/2006/relationships/hyperlink" Target="https://warmupjo.com/products/spinning-bike-blue-new-listing" TargetMode="External" Id="rId69" /><Relationship Type="http://schemas.openxmlformats.org/officeDocument/2006/relationships/hyperlink" Target="https://cdn.shopify.com/s/files/1/0746/8256/4804/files/magnific_lowangle-threequarter-vie_43sZcYI9Aa.png?v=1783018345" TargetMode="External" Id="rId70" /><Relationship Type="http://schemas.openxmlformats.org/officeDocument/2006/relationships/hyperlink" Target="https://warmupjo.com/products/spinning-bike-black-silver" TargetMode="External" Id="rId71" /><Relationship Type="http://schemas.openxmlformats.org/officeDocument/2006/relationships/hyperlink" Target="https://cdn.shopify.com/s/files/1/0746/8256/4804/files/magnific_professional-product-phot_l7bPwoTgv9.png?v=1783018490" TargetMode="External" Id="rId72" /><Relationship Type="http://schemas.openxmlformats.org/officeDocument/2006/relationships/hyperlink" Target="https://warmupjo.com/products/%D8%B3%D8%AA%D8%A7%D9%86%D8%AF-%D8%B3%D9%84%D8%A9-218cm" TargetMode="External" Id="rId73" /><Relationship Type="http://schemas.openxmlformats.org/officeDocument/2006/relationships/hyperlink" Target="https://cdn.shopify.com/s/files/1/0746/8256/4804/files/Photoroom_20260713_185638.jpg?v=1783958369" TargetMode="External" Id="rId74" /><Relationship Type="http://schemas.openxmlformats.org/officeDocument/2006/relationships/hyperlink" Target="https://warmupjo.com/products/portable-basketball-hoop" TargetMode="External" Id="rId75" /><Relationship Type="http://schemas.openxmlformats.org/officeDocument/2006/relationships/hyperlink" Target="https://cdn.shopify.com/s/files/1/0746/8256/4804/files/magnific_use-this-product-img5-new_SOK4AWkUb8.png?v=1783015548" TargetMode="External" Id="rId76" /><Relationship Type="http://schemas.openxmlformats.org/officeDocument/2006/relationships/hyperlink" Target="https://warmupjo.com/products/%D8%B3%D8%AA%D8%A7%D9%86%D8%AF-%D8%B9%D8%B5%D9%8A-%D8%A7%D9%84%D8%A8%D9%84%D9%8A%D8%A7%D8%B1%D8%AF%D9%88" TargetMode="External" Id="rId77" /><Relationship Type="http://schemas.openxmlformats.org/officeDocument/2006/relationships/hyperlink" Target="https://cdn.shopify.com/s/files/1/0746/8256/4804/files/Photoroom_20260721_195659.jpg?v=1784653143" TargetMode="External" Id="rId78" /><Relationship Type="http://schemas.openxmlformats.org/officeDocument/2006/relationships/hyperlink" Target="https://warmupjo.com/products/%D8%B7%D8%A7%D9%88%D9%84%D8%A9-4-%D9%81%D9%8A-1" TargetMode="External" Id="rId79" /><Relationship Type="http://schemas.openxmlformats.org/officeDocument/2006/relationships/hyperlink" Target="https://cdn.shopify.com/s/files/1/0746/8256/4804/files/Photoroom_20260713_143929.jpg?v=1783942924" TargetMode="External" Id="rId80" /><Relationship Type="http://schemas.openxmlformats.org/officeDocument/2006/relationships/hyperlink" Target="https://warmupjo.com/products/%D8%B7%D8%A7%D9%88%D9%84%D8%A9-%D8%A8%D9%84%D9%8A%D8%A7%D8%B1%D8%AF%D9%88-7-%D9%82%D8%AF%D9%85" TargetMode="External" Id="rId81" /><Relationship Type="http://schemas.openxmlformats.org/officeDocument/2006/relationships/hyperlink" Target="https://cdn.shopify.com/s/files/1/0746/8256/4804/files/Photoroom_20260713_144722.jpg?v=1783943297" TargetMode="External" Id="rId82" /><Relationship Type="http://schemas.openxmlformats.org/officeDocument/2006/relationships/hyperlink" Target="https://warmupjo.com/products/tennis-table" TargetMode="External" Id="rId83" /><Relationship Type="http://schemas.openxmlformats.org/officeDocument/2006/relationships/hyperlink" Target="https://cdn.shopify.com/s/files/1/0746/8256/4804/files/Photoroom_20260722_004517.jpg?v=1784670347" TargetMode="External" Id="rId84" /><Relationship Type="http://schemas.openxmlformats.org/officeDocument/2006/relationships/hyperlink" Target="https://warmupjo.com/products/jo-sport-tennis-table" TargetMode="External" Id="rId85" /><Relationship Type="http://schemas.openxmlformats.org/officeDocument/2006/relationships/hyperlink" Target="https://cdn.shopify.com/s/files/1/0746/8256/4804/files/Artboard21.jpg?v=1784044401" TargetMode="External" Id="rId86" /><Relationship Type="http://schemas.openxmlformats.org/officeDocument/2006/relationships/hyperlink" Target="https://warmupjo.com/products/tennis-table-1" TargetMode="External" Id="rId87" /><Relationship Type="http://schemas.openxmlformats.org/officeDocument/2006/relationships/hyperlink" Target="https://cdn.shopify.com/s/files/1/0746/8256/4804/files/Artboard4.jpg?v=1784294825" TargetMode="External" Id="rId88" /><Relationship Type="http://schemas.openxmlformats.org/officeDocument/2006/relationships/hyperlink" Target="https://warmupjo.com/products/staga-tennis-table" TargetMode="External" Id="rId89" /><Relationship Type="http://schemas.openxmlformats.org/officeDocument/2006/relationships/hyperlink" Target="https://cdn.shopify.com/s/files/1/0746/8256/4804/files/Photoroom_20260722_002940.jpg?v=1784669477" TargetMode="External" Id="rId90" /><Relationship Type="http://schemas.openxmlformats.org/officeDocument/2006/relationships/hyperlink" Target="https://warmupjo.com/products/table-tennis-stega" TargetMode="External" Id="rId91" /><Relationship Type="http://schemas.openxmlformats.org/officeDocument/2006/relationships/hyperlink" Target="https://cdn.shopify.com/s/files/1/0746/8256/4804/files/Artboard7_1d9ee229-a720-4c84-ad38-55b2f368b227.jpg?v=1784298026" TargetMode="External" Id="rId92" /><Relationship Type="http://schemas.openxmlformats.org/officeDocument/2006/relationships/hyperlink" Target="https://warmupjo.com/products/%D8%B7%D8%A7%D9%88%D9%84%D8%A9-%D8%AA%D9%86%D8%B3-%D8%A7%D8%B3%D8%AA%D8%AE%D8%AF%D8%A7%D9%85-%D8%AE%D8%A7%D8%B1%D8%AC%D9%8A" TargetMode="External" Id="rId93" /><Relationship Type="http://schemas.openxmlformats.org/officeDocument/2006/relationships/hyperlink" Target="https://cdn.shopify.com/s/files/1/0746/8256/4804/files/Photoroom_20260722_001908.jpg?v=1784668874" TargetMode="External" Id="rId94" /><Relationship Type="http://schemas.openxmlformats.org/officeDocument/2006/relationships/hyperlink" Target="https://warmupjo.com/products/%D8%B7%D8%A7%D9%88%D9%84%D8%A9-%D9%87%D9%88%D9%83%D9%8A-%D8%A7%D9%84%D9%87%D9%88%D8%A7%D8%A6%D9%8A%D8%A9" TargetMode="External" Id="rId95" /><Relationship Type="http://schemas.openxmlformats.org/officeDocument/2006/relationships/hyperlink" Target="https://cdn.shopify.com/s/files/1/0746/8256/4804/files/Photoroom_20260713_163250.jpg?v=1783949631" TargetMode="External" Id="rId96" /><Relationship Type="http://schemas.openxmlformats.org/officeDocument/2006/relationships/hyperlink" Target="https://warmupjo.com/products/%D8%B7%D9%82%D9%85-%D8%A7%D9%88%D8%B2%D8%A7%D9%86-%D9%83%D8%B1%D9%88%D9%85" TargetMode="External" Id="rId97" /><Relationship Type="http://schemas.openxmlformats.org/officeDocument/2006/relationships/hyperlink" Target="https://cdn.shopify.com/s/files/1/0746/8256/4804/files/Photoroom_20260721_160207.jpg?v=1784639073" TargetMode="External" Id="rId98" /><Relationship Type="http://schemas.openxmlformats.org/officeDocument/2006/relationships/hyperlink" Target="https://warmupjo.com/products/red-dumbbils" TargetMode="External" Id="rId99" /><Relationship Type="http://schemas.openxmlformats.org/officeDocument/2006/relationships/hyperlink" Target="https://cdn.shopify.com/s/files/1/0746/8256/4804/files/Asset40.webp?v=1783015890" TargetMode="External" Id="rId100" /><Relationship Type="http://schemas.openxmlformats.org/officeDocument/2006/relationships/hyperlink" Target="https://warmupjo.com/products/green-zigzag-dumbbils" TargetMode="External" Id="rId101" /><Relationship Type="http://schemas.openxmlformats.org/officeDocument/2006/relationships/hyperlink" Target="https://cdn.shopify.com/s/files/1/0746/8256/4804/files/Asset33.webp?v=1783014952" TargetMode="External" Id="rId102" /><Relationship Type="http://schemas.openxmlformats.org/officeDocument/2006/relationships/hyperlink" Target="https://warmupjo.com/products/%D8%B7%D9%82%D9%85-%D9%83%D8%B1%D8%A7%D8%AA-%D8%A8%D9%84%D9%8A%D8%A7%D8%B1%D8%AF%D9%88" TargetMode="External" Id="rId103" /><Relationship Type="http://schemas.openxmlformats.org/officeDocument/2006/relationships/hyperlink" Target="https://cdn.shopify.com/s/files/1/0746/8256/4804/files/Photoroom_20260721_162736.jpg?v=1784651115" TargetMode="External" Id="rId104" /><Relationship Type="http://schemas.openxmlformats.org/officeDocument/2006/relationships/hyperlink" Target="https://warmupjo.com/products/%D9%83%D8%B1%D8%A7%D8%AA-%D8%AA%D9%86%D8%B3-%D8%B3%D8%AA%D9%8A%D8%AC%D8%A7" TargetMode="External" Id="rId105" /><Relationship Type="http://schemas.openxmlformats.org/officeDocument/2006/relationships/hyperlink" Target="https://cdn.shopify.com/s/files/1/0746/8256/4804/files/Photoroom_20260713_174950_f8a77be2-7386-4cf0-b291-6b0e37e44c3e.jpg?v=1783954801" TargetMode="External" Id="rId106" /><Relationship Type="http://schemas.openxmlformats.org/officeDocument/2006/relationships/hyperlink" Target="https://warmupjo.com/products/%D9%83%D8%B1%D8%A7%D8%AA-%D8%AA%D9%86%D8%B3-donic" TargetMode="External" Id="rId107" /><Relationship Type="http://schemas.openxmlformats.org/officeDocument/2006/relationships/hyperlink" Target="https://cdn.shopify.com/s/files/1/0746/8256/4804/files/Photoroom_20260713_181152.jpg?v=1783958496" TargetMode="External" Id="rId108" /><Relationship Type="http://schemas.openxmlformats.org/officeDocument/2006/relationships/hyperlink" Target="https://warmupjo.com/products/%D9%83%D8%B1%D8%A9-%D8%B3%D9%84%D8%A9-molten" TargetMode="External" Id="rId109" /><Relationship Type="http://schemas.openxmlformats.org/officeDocument/2006/relationships/hyperlink" Target="https://cdn.shopify.com/s/files/1/0746/8256/4804/files/Photoroom_20260716_203657.jpg?v=1784286058" TargetMode="External" Id="rId110" /><Relationship Type="http://schemas.openxmlformats.org/officeDocument/2006/relationships/hyperlink" Target="https://warmupjo.com/products/%D9%83%D8%B1%D8%A9-%D8%B3%D9%84%D8%A9-movemen" TargetMode="External" Id="rId111" /><Relationship Type="http://schemas.openxmlformats.org/officeDocument/2006/relationships/hyperlink" Target="https://cdn.shopify.com/s/files/1/0746/8256/4804/files/Photoroom_20260722_005532.jpg?v=1784671258" TargetMode="External" Id="rId112" /><Relationship Type="http://schemas.openxmlformats.org/officeDocument/2006/relationships/hyperlink" Target="https://warmupjo.com/products/%D9%83%D8%B1%D8%A9-%D8%B3%D9%84%D8%A9-weinaer" TargetMode="External" Id="rId113" /><Relationship Type="http://schemas.openxmlformats.org/officeDocument/2006/relationships/hyperlink" Target="https://cdn.shopify.com/s/files/1/0746/8256/4804/files/Photoroom_20260722_133319.jpg?v=1784716597" TargetMode="External" Id="rId114" /><Relationship Type="http://schemas.openxmlformats.org/officeDocument/2006/relationships/hyperlink" Target="https://warmupjo.com/products/cross-machine-with-seat" TargetMode="External" Id="rId115" /><Relationship Type="http://schemas.openxmlformats.org/officeDocument/2006/relationships/hyperlink" Target="https://cdn.shopify.com/s/files/1/0746/8256/4804/files/magnific_marshal-fitness-cross-tra_43wAvkH9Aa.png?v=1783801731" TargetMode="External" Id="rId116" /><Relationship Type="http://schemas.openxmlformats.org/officeDocument/2006/relationships/hyperlink" Target="https://warmupjo.com/products/tennis-table-cover" TargetMode="External" Id="rId117" /><Relationship Type="http://schemas.openxmlformats.org/officeDocument/2006/relationships/hyperlink" Target="https://cdn.shopify.com/s/files/1/0746/8256/4804/files/magnific_product-photograph-of-the_MXYICOLDCm.png?v=1783799592" TargetMode="External" Id="rId118" /><Relationship Type="http://schemas.openxmlformats.org/officeDocument/2006/relationships/hyperlink" Target="https://warmupjo.com/products/%D9%83%D9%8A%D8%A8%D9%84-%D9%83%D8%B1%D9%88%D8%B3-%D8%A7%D9%84%D8%A3%D8%B5%D9%84%D9%8A" TargetMode="External" Id="rId119" /><Relationship Type="http://schemas.openxmlformats.org/officeDocument/2006/relationships/hyperlink" Target="https://cdn.shopify.com/s/files/1/0746/8256/4804/files/magnific_professional-studio-produ_1sbtSKur4r.png?v=1784503167" TargetMode="External" Id="rId120" /><Relationship Type="http://schemas.openxmlformats.org/officeDocument/2006/relationships/hyperlink" Target="https://warmupjo.com/products/%D9%83%D9%8A%D8%A8%D9%84-%D9%83%D8%B1%D9%88%D8%B3-%D9%85%D8%B9-%D8%B3%D9%85%D9%8A%D8%AB" TargetMode="External" Id="rId121" /><Relationship Type="http://schemas.openxmlformats.org/officeDocument/2006/relationships/hyperlink" Target="https://cdn.shopify.com/s/files/1/0746/8256/4804/files/Photoroom_20260722_155406.jpg?v=1784725138" TargetMode="External" Id="rId122" /><Relationship Type="http://schemas.openxmlformats.org/officeDocument/2006/relationships/hyperlink" Target="https://warmupjo.com/products/%D9%84%D8%A7%D8%B9%D8%A8%D9%8A%D9%86-%D8%B7%D8%A7%D9%88%D9%84%D8%A9-%D8%A8%D9%8A%D8%A8%D9%8A-%D9%81%D9%88%D8%AA" TargetMode="External" Id="rId123" /><Relationship Type="http://schemas.openxmlformats.org/officeDocument/2006/relationships/hyperlink" Target="https://cdn.shopify.com/s/files/1/0746/8256/4804/files/Photoroom_20260713_173935.jpg?v=1783953865" TargetMode="External" Id="rId124" /><Relationship Type="http://schemas.openxmlformats.org/officeDocument/2006/relationships/hyperlink" Target="https://warmupjo.com/products/%D9%85%D8%AB%D9%84%D8%AB-%D8%A8%D9%84%D9%8A%D8%A7%D8%B1%D8%AF%D9%88" TargetMode="External" Id="rId125" /><Relationship Type="http://schemas.openxmlformats.org/officeDocument/2006/relationships/hyperlink" Target="https://cdn.shopify.com/s/files/1/0746/8256/4804/files/Photoroom_20260721_201757.jpg?v=1784654519" TargetMode="External" Id="rId126" /><Relationship Type="http://schemas.openxmlformats.org/officeDocument/2006/relationships/hyperlink" Target="https://warmupjo.com/products/%D9%85%D8%B6%D8%A7%D8%B1%D8%A8-%D8%AA%D9%86%D8%B3" TargetMode="External" Id="rId127" /><Relationship Type="http://schemas.openxmlformats.org/officeDocument/2006/relationships/hyperlink" Target="https://cdn.shopify.com/s/files/1/0746/8256/4804/files/Photoroom_20260720_185142.jpg?v=1784565304" TargetMode="External" Id="rId128" /><Relationship Type="http://schemas.openxmlformats.org/officeDocument/2006/relationships/hyperlink" Target="https://warmupjo.com/products/%D9%85%D8%B6%D8%A7%D8%B1%D8%A8-%D9%87%D9%88%D9%83%D9%8A" TargetMode="External" Id="rId129" /><Relationship Type="http://schemas.openxmlformats.org/officeDocument/2006/relationships/hyperlink" Target="https://cdn.shopify.com/s/files/1/0746/8256/4804/files/Photoroom_20260713_161201.jpg?v=1783948404" TargetMode="External" Id="rId130" /><Relationship Type="http://schemas.openxmlformats.org/officeDocument/2006/relationships/hyperlink" Target="https://warmupjo.com/products/spinning-bike-red-new-listing" TargetMode="External" Id="rId131" /><Relationship Type="http://schemas.openxmlformats.org/officeDocument/2006/relationships/hyperlink" Target="https://cdn.shopify.com/s/files/1/0746/8256/4804/files/magnific_professional-product-phot_xgQw1znjfW.png?v=1783018242" TargetMode="External" Id="rId132" /><Relationship Type="http://schemas.openxmlformats.org/officeDocument/2006/relationships/hyperlink" Target="https://warmupjo.com/products/hhhh" TargetMode="External" Id="rId133" /><Relationship Type="http://schemas.openxmlformats.org/officeDocument/2006/relationships/hyperlink" Target="https://cdn.shopify.com/s/files/1/0746/8256/4804/files/magnific_product-photograph-of-the_e8Vi47LdqL.jpg?v=1784412708" TargetMode="External" Id="rId134" /><Relationship Type="http://schemas.openxmlformats.org/officeDocument/2006/relationships/hyperlink" Target="https://warmupjo.com/products/home-gym-1" TargetMode="External" Id="rId135" /><Relationship Type="http://schemas.openxmlformats.org/officeDocument/2006/relationships/hyperlink" Target="https://cdn.shopify.com/s/files/1/0746/8256/4804/files/Artboard9.jpg?v=1784325856" TargetMode="External" Id="rId136" /><Relationship Type="http://schemas.openxmlformats.org/officeDocument/2006/relationships/hyperlink" Target="https://warmupjo.com/products/home-gym" TargetMode="External" Id="rId137" /><Relationship Type="http://schemas.openxmlformats.org/officeDocument/2006/relationships/hyperlink" Target="https://cdn.shopify.com/s/files/1/0746/8256/4804/files/magnific_professional-product-phot_rl50c7sxtc.png?v=1784320789" TargetMode="External" Id="rId138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H76"/>
  <sheetViews>
    <sheetView rightToLeft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13" customWidth="1" min="3" max="3"/>
    <col width="13" customWidth="1" min="4" max="4"/>
    <col width="13" customWidth="1" min="5" max="5"/>
    <col width="13" customWidth="1" min="6" max="6"/>
    <col width="20" customWidth="1" min="7" max="7"/>
    <col width="16" customWidth="1" min="8" max="8"/>
  </cols>
  <sheetData>
    <row r="1" ht="26" customHeight="1">
      <c r="A1" s="1" t="inlineStr">
        <is>
          <t>قائمة منتجات متجر Warmup — warmupjo.com</t>
        </is>
      </c>
    </row>
    <row r="2">
      <c r="A2" s="2" t="inlineStr">
        <is>
          <t>العملة: دينار أردني (JOD) · البيانات مسحوبة مباشرة من Shopify بتاريخ 2026-08-14 · عدد المنتجات: 69</t>
        </is>
      </c>
    </row>
    <row r="3" ht="30" customHeight="1">
      <c r="A3" s="3" t="inlineStr">
        <is>
          <t>طريقة الاستخدام: املأ عمود «التكلفة» فقط (الخلايا الصفراء) — يتم حساب «الربح» و«نسبة الربح» تلقائياً. مثال: سعر 200.000 وتكلفة 140.000 ← الربح 60.000 والنسبة 30.0%</t>
        </is>
      </c>
    </row>
    <row r="4">
      <c r="A4" s="4" t="inlineStr">
        <is>
          <t>ملاحظة: حقل التكلفة (Cost per item) غير معبأ لأي منتج في شوبيفاي، لذلك تُرك العمود فارغاً لتعبئته يدوياً.</t>
        </is>
      </c>
    </row>
    <row r="6" ht="30" customHeight="1">
      <c r="A6" s="5" t="inlineStr">
        <is>
          <t>#</t>
        </is>
      </c>
      <c r="B6" s="5" t="inlineStr">
        <is>
          <t>اسم المنتج</t>
        </is>
      </c>
      <c r="C6" s="5" t="inlineStr">
        <is>
          <t>السعر (د.أ)</t>
        </is>
      </c>
      <c r="D6" s="5" t="inlineStr">
        <is>
          <t>التكلفة (د.أ)</t>
        </is>
      </c>
      <c r="E6" s="5" t="inlineStr">
        <is>
          <t>الربح (د.أ)</t>
        </is>
      </c>
      <c r="F6" s="5" t="inlineStr">
        <is>
          <t>نسبة الربح %</t>
        </is>
      </c>
      <c r="G6" s="5" t="inlineStr">
        <is>
          <t>رابط المنتج</t>
        </is>
      </c>
      <c r="H6" s="5" t="inlineStr">
        <is>
          <t>صورة المنتج</t>
        </is>
      </c>
    </row>
    <row r="7">
      <c r="A7" s="6" t="n">
        <v>1</v>
      </c>
      <c r="B7" s="7" t="inlineStr">
        <is>
          <t>W7111 جهاز ركض مع حركات</t>
        </is>
      </c>
      <c r="C7" s="8" t="n">
        <v>235</v>
      </c>
      <c r="D7" s="9" t="n"/>
      <c r="E7" s="10">
        <f>IF(D7="","",C7-D7)</f>
        <v/>
      </c>
      <c r="F7" s="11">
        <f>IF(OR(D7="",C7=0),"",E7/C7)</f>
        <v/>
      </c>
      <c r="G7" s="12" t="inlineStr">
        <is>
          <t>فتح صفحة المنتج</t>
        </is>
      </c>
      <c r="H7" s="12" t="inlineStr">
        <is>
          <t>عرض الصورة</t>
        </is>
      </c>
    </row>
    <row r="8">
      <c r="A8" s="13" t="n">
        <v>2</v>
      </c>
      <c r="B8" s="14" t="inlineStr">
        <is>
          <t>ارضيات ربر (1.5cm)</t>
        </is>
      </c>
      <c r="C8" s="15" t="n">
        <v>14</v>
      </c>
      <c r="D8" s="9" t="n"/>
      <c r="E8" s="16">
        <f>IF(D8="","",C8-D8)</f>
        <v/>
      </c>
      <c r="F8" s="17">
        <f>IF(OR(D8="",C8=0),"",E8/C8)</f>
        <v/>
      </c>
      <c r="G8" s="18" t="inlineStr">
        <is>
          <t>فتح صفحة المنتج</t>
        </is>
      </c>
      <c r="H8" s="18" t="inlineStr">
        <is>
          <t>عرض الصورة</t>
        </is>
      </c>
    </row>
    <row r="9">
      <c r="A9" s="6" t="n">
        <v>3</v>
      </c>
      <c r="B9" s="7" t="inlineStr">
        <is>
          <t>ارضيات ربر (2.5cm)</t>
        </is>
      </c>
      <c r="C9" s="8" t="n">
        <v>18</v>
      </c>
      <c r="D9" s="9" t="n"/>
      <c r="E9" s="10">
        <f>IF(D9="","",C9-D9)</f>
        <v/>
      </c>
      <c r="F9" s="11">
        <f>IF(OR(D9="",C9=0),"",E9/C9)</f>
        <v/>
      </c>
      <c r="G9" s="12" t="inlineStr">
        <is>
          <t>فتح صفحة المنتج</t>
        </is>
      </c>
      <c r="H9" s="12" t="inlineStr">
        <is>
          <t>عرض الصورة</t>
        </is>
      </c>
    </row>
    <row r="10">
      <c r="A10" s="13" t="n">
        <v>4</v>
      </c>
      <c r="B10" s="14" t="inlineStr">
        <is>
          <t>ارضيات فوم (2.5cm)</t>
        </is>
      </c>
      <c r="C10" s="19" t="n">
        <v>0</v>
      </c>
      <c r="D10" s="9" t="n"/>
      <c r="E10" s="16">
        <f>IF(D10="","",C10-D10)</f>
        <v/>
      </c>
      <c r="F10" s="17">
        <f>IF(OR(D10="",C10=0),"",E10/C10)</f>
        <v/>
      </c>
      <c r="G10" s="18" t="inlineStr">
        <is>
          <t>فتح صفحة المنتج</t>
        </is>
      </c>
      <c r="H10" s="18" t="inlineStr">
        <is>
          <t>عرض الصورة</t>
        </is>
      </c>
    </row>
    <row r="11">
      <c r="A11" s="6" t="n">
        <v>5</v>
      </c>
      <c r="B11" s="7" t="inlineStr">
        <is>
          <t>ارضيات كوشوك (2.5cm)</t>
        </is>
      </c>
      <c r="C11" s="8" t="n">
        <v>20</v>
      </c>
      <c r="D11" s="9" t="n"/>
      <c r="E11" s="10">
        <f>IF(D11="","",C11-D11)</f>
        <v/>
      </c>
      <c r="F11" s="11">
        <f>IF(OR(D11="",C11=0),"",E11/C11)</f>
        <v/>
      </c>
      <c r="G11" s="12" t="inlineStr">
        <is>
          <t>فتح صفحة المنتج</t>
        </is>
      </c>
      <c r="H11" s="12" t="inlineStr">
        <is>
          <t>عرض الصورة</t>
        </is>
      </c>
    </row>
    <row r="12">
      <c r="A12" s="13" t="n">
        <v>6</v>
      </c>
      <c r="B12" s="14" t="inlineStr">
        <is>
          <t>استيكة ببلياردو</t>
        </is>
      </c>
      <c r="C12" s="15" t="n">
        <v>20</v>
      </c>
      <c r="D12" s="9" t="n"/>
      <c r="E12" s="16">
        <f>IF(D12="","",C12-D12)</f>
        <v/>
      </c>
      <c r="F12" s="17">
        <f>IF(OR(D12="",C12=0),"",E12/C12)</f>
        <v/>
      </c>
      <c r="G12" s="18" t="inlineStr">
        <is>
          <t>فتح صفحة المنتج</t>
        </is>
      </c>
      <c r="H12" s="18" t="inlineStr">
        <is>
          <t>عرض الصورة</t>
        </is>
      </c>
    </row>
    <row r="13">
      <c r="A13" s="6" t="n">
        <v>7</v>
      </c>
      <c r="B13" s="7" t="inlineStr">
        <is>
          <t>استيكة بلياردو</t>
        </is>
      </c>
      <c r="C13" s="8" t="n">
        <v>20</v>
      </c>
      <c r="D13" s="9" t="n"/>
      <c r="E13" s="10">
        <f>IF(D13="","",C13-D13)</f>
        <v/>
      </c>
      <c r="F13" s="11">
        <f>IF(OR(D13="",C13=0),"",E13/C13)</f>
        <v/>
      </c>
      <c r="G13" s="12" t="inlineStr">
        <is>
          <t>فتح صفحة المنتج</t>
        </is>
      </c>
      <c r="H13" s="12" t="inlineStr">
        <is>
          <t>عرض الصورة</t>
        </is>
      </c>
    </row>
    <row r="14">
      <c r="A14" s="13" t="n">
        <v>8</v>
      </c>
      <c r="B14" s="14" t="inlineStr">
        <is>
          <t>استيكة بلياردو</t>
        </is>
      </c>
      <c r="C14" s="15" t="n">
        <v>20</v>
      </c>
      <c r="D14" s="9" t="n"/>
      <c r="E14" s="16">
        <f>IF(D14="","",C14-D14)</f>
        <v/>
      </c>
      <c r="F14" s="17">
        <f>IF(OR(D14="",C14=0),"",E14/C14)</f>
        <v/>
      </c>
      <c r="G14" s="18" t="inlineStr">
        <is>
          <t>فتح صفحة المنتج</t>
        </is>
      </c>
      <c r="H14" s="18" t="inlineStr">
        <is>
          <t>عرض الصورة</t>
        </is>
      </c>
    </row>
    <row r="15">
      <c r="A15" s="6" t="n">
        <v>9</v>
      </c>
      <c r="B15" s="7" t="inlineStr">
        <is>
          <t>استيكة بلياردو</t>
        </is>
      </c>
      <c r="C15" s="8" t="n">
        <v>20</v>
      </c>
      <c r="D15" s="9" t="n"/>
      <c r="E15" s="10">
        <f>IF(D15="","",C15-D15)</f>
        <v/>
      </c>
      <c r="F15" s="11">
        <f>IF(OR(D15="",C15=0),"",E15/C15)</f>
        <v/>
      </c>
      <c r="G15" s="12" t="inlineStr">
        <is>
          <t>فتح صفحة المنتج</t>
        </is>
      </c>
      <c r="H15" s="12" t="inlineStr">
        <is>
          <t>عرض الصورة</t>
        </is>
      </c>
    </row>
    <row r="16">
      <c r="A16" s="13" t="n">
        <v>10</v>
      </c>
      <c r="B16" s="14" t="inlineStr">
        <is>
          <t>انارة ثلاثية لطاولة البلياردو</t>
        </is>
      </c>
      <c r="C16" s="15" t="n">
        <v>35</v>
      </c>
      <c r="D16" s="9" t="n"/>
      <c r="E16" s="16">
        <f>IF(D16="","",C16-D16)</f>
        <v/>
      </c>
      <c r="F16" s="17">
        <f>IF(OR(D16="",C16=0),"",E16/C16)</f>
        <v/>
      </c>
      <c r="G16" s="18" t="inlineStr">
        <is>
          <t>فتح صفحة المنتج</t>
        </is>
      </c>
      <c r="H16" s="18" t="inlineStr">
        <is>
          <t>عرض الصورة</t>
        </is>
      </c>
    </row>
    <row r="17">
      <c r="A17" s="6" t="n">
        <v>11</v>
      </c>
      <c r="B17" s="7" t="inlineStr">
        <is>
          <t>بنش حر</t>
        </is>
      </c>
      <c r="C17" s="8" t="n">
        <v>80</v>
      </c>
      <c r="D17" s="9" t="n"/>
      <c r="E17" s="10">
        <f>IF(D17="","",C17-D17)</f>
        <v/>
      </c>
      <c r="F17" s="11">
        <f>IF(OR(D17="",C17=0),"",E17/C17)</f>
        <v/>
      </c>
      <c r="G17" s="12" t="inlineStr">
        <is>
          <t>فتح صفحة المنتج</t>
        </is>
      </c>
      <c r="H17" s="12" t="inlineStr">
        <is>
          <t>عرض الصورة</t>
        </is>
      </c>
    </row>
    <row r="18">
      <c r="A18" s="13" t="n">
        <v>12</v>
      </c>
      <c r="B18" s="14" t="inlineStr">
        <is>
          <t>بنش قابل للتعديل</t>
        </is>
      </c>
      <c r="C18" s="15" t="n">
        <v>50</v>
      </c>
      <c r="D18" s="9" t="n"/>
      <c r="E18" s="16">
        <f>IF(D18="","",C18-D18)</f>
        <v/>
      </c>
      <c r="F18" s="17">
        <f>IF(OR(D18="",C18=0),"",E18/C18)</f>
        <v/>
      </c>
      <c r="G18" s="18" t="inlineStr">
        <is>
          <t>فتح صفحة المنتج</t>
        </is>
      </c>
      <c r="H18" s="18" t="inlineStr">
        <is>
          <t>عرض الصورة</t>
        </is>
      </c>
    </row>
    <row r="19">
      <c r="A19" s="6" t="n">
        <v>13</v>
      </c>
      <c r="B19" s="7" t="inlineStr">
        <is>
          <t>بنش متحرك ثقيل</t>
        </is>
      </c>
      <c r="C19" s="8" t="n">
        <v>110</v>
      </c>
      <c r="D19" s="9" t="n"/>
      <c r="E19" s="10">
        <f>IF(D19="","",C19-D19)</f>
        <v/>
      </c>
      <c r="F19" s="11">
        <f>IF(OR(D19="",C19=0),"",E19/C19)</f>
        <v/>
      </c>
      <c r="G19" s="12" t="inlineStr">
        <is>
          <t>فتح صفحة المنتج</t>
        </is>
      </c>
      <c r="H19" s="12" t="inlineStr">
        <is>
          <t>عرض الصورة</t>
        </is>
      </c>
    </row>
    <row r="20">
      <c r="A20" s="13" t="n">
        <v>14</v>
      </c>
      <c r="B20" s="14" t="inlineStr">
        <is>
          <t>بنش مع ركاية باي</t>
        </is>
      </c>
      <c r="C20" s="15" t="n">
        <v>50</v>
      </c>
      <c r="D20" s="9" t="n"/>
      <c r="E20" s="16">
        <f>IF(D20="","",C20-D20)</f>
        <v/>
      </c>
      <c r="F20" s="17">
        <f>IF(OR(D20="",C20=0),"",E20/C20)</f>
        <v/>
      </c>
      <c r="G20" s="18" t="inlineStr">
        <is>
          <t>فتح صفحة المنتج</t>
        </is>
      </c>
      <c r="H20" s="18" t="inlineStr">
        <is>
          <t>عرض الصورة</t>
        </is>
      </c>
    </row>
    <row r="21">
      <c r="A21" s="6" t="n">
        <v>15</v>
      </c>
      <c r="B21" s="7" t="inlineStr">
        <is>
          <t>بورد سلة اكرليك</t>
        </is>
      </c>
      <c r="C21" s="8" t="n">
        <v>80</v>
      </c>
      <c r="D21" s="9" t="n"/>
      <c r="E21" s="10">
        <f>IF(D21="","",C21-D21)</f>
        <v/>
      </c>
      <c r="F21" s="11">
        <f>IF(OR(D21="",C21=0),"",E21/C21)</f>
        <v/>
      </c>
      <c r="G21" s="12" t="inlineStr">
        <is>
          <t>فتح صفحة المنتج</t>
        </is>
      </c>
      <c r="H21" s="12" t="inlineStr">
        <is>
          <t>عرض الصورة</t>
        </is>
      </c>
    </row>
    <row r="22">
      <c r="A22" s="13" t="n">
        <v>16</v>
      </c>
      <c r="B22" s="14" t="inlineStr">
        <is>
          <t>بورد سلة فومير</t>
        </is>
      </c>
      <c r="C22" s="15" t="n">
        <v>80</v>
      </c>
      <c r="D22" s="9" t="n"/>
      <c r="E22" s="16">
        <f>IF(D22="","",C22-D22)</f>
        <v/>
      </c>
      <c r="F22" s="17">
        <f>IF(OR(D22="",C22=0),"",E22/C22)</f>
        <v/>
      </c>
      <c r="G22" s="18" t="inlineStr">
        <is>
          <t>فتح صفحة المنتج</t>
        </is>
      </c>
      <c r="H22" s="18" t="inlineStr">
        <is>
          <t>عرض الصورة</t>
        </is>
      </c>
    </row>
    <row r="23">
      <c r="A23" s="6" t="n">
        <v>17</v>
      </c>
      <c r="B23" s="7" t="inlineStr">
        <is>
          <t>بيبي فوت 55 كجم</t>
        </is>
      </c>
      <c r="C23" s="8" t="n">
        <v>190</v>
      </c>
      <c r="D23" s="9" t="n"/>
      <c r="E23" s="10">
        <f>IF(D23="","",C23-D23)</f>
        <v/>
      </c>
      <c r="F23" s="11">
        <f>IF(OR(D23="",C23=0),"",E23/C23)</f>
        <v/>
      </c>
      <c r="G23" s="12" t="inlineStr">
        <is>
          <t>فتح صفحة المنتج</t>
        </is>
      </c>
      <c r="H23" s="12" t="inlineStr">
        <is>
          <t>عرض الصورة</t>
        </is>
      </c>
    </row>
    <row r="24">
      <c r="A24" s="13" t="n">
        <v>18</v>
      </c>
      <c r="B24" s="14" t="inlineStr">
        <is>
          <t>بيبي فوت 55 كجم</t>
        </is>
      </c>
      <c r="C24" s="15" t="n">
        <v>200</v>
      </c>
      <c r="D24" s="9" t="n"/>
      <c r="E24" s="16">
        <f>IF(D24="","",C24-D24)</f>
        <v/>
      </c>
      <c r="F24" s="17">
        <f>IF(OR(D24="",C24=0),"",E24/C24)</f>
        <v/>
      </c>
      <c r="G24" s="18" t="inlineStr">
        <is>
          <t>فتح صفحة المنتج</t>
        </is>
      </c>
      <c r="H24" s="18" t="inlineStr">
        <is>
          <t>عرض الصورة</t>
        </is>
      </c>
    </row>
    <row r="25">
      <c r="A25" s="6" t="n">
        <v>19</v>
      </c>
      <c r="B25" s="7" t="inlineStr">
        <is>
          <t>ترامبولين رياضي</t>
        </is>
      </c>
      <c r="C25" s="8" t="n">
        <v>50</v>
      </c>
      <c r="D25" s="9" t="n"/>
      <c r="E25" s="10">
        <f>IF(D25="","",C25-D25)</f>
        <v/>
      </c>
      <c r="F25" s="11">
        <f>IF(OR(D25="",C25=0),"",E25/C25)</f>
        <v/>
      </c>
      <c r="G25" s="12" t="inlineStr">
        <is>
          <t>فتح صفحة المنتج</t>
        </is>
      </c>
      <c r="H25" s="12" t="inlineStr">
        <is>
          <t>عرض الصورة</t>
        </is>
      </c>
    </row>
    <row r="26">
      <c r="A26" s="13" t="n">
        <v>20</v>
      </c>
      <c r="B26" s="14" t="inlineStr">
        <is>
          <t>جهاز ركض W7500</t>
        </is>
      </c>
      <c r="C26" s="15" t="n">
        <v>310</v>
      </c>
      <c r="D26" s="9" t="n"/>
      <c r="E26" s="16">
        <f>IF(D26="","",C26-D26)</f>
        <v/>
      </c>
      <c r="F26" s="17">
        <f>IF(OR(D26="",C26=0),"",E26/C26)</f>
        <v/>
      </c>
      <c r="G26" s="18" t="inlineStr">
        <is>
          <t>فتح صفحة المنتج</t>
        </is>
      </c>
      <c r="H26" s="18" t="inlineStr">
        <is>
          <t>عرض الصورة</t>
        </is>
      </c>
    </row>
    <row r="27">
      <c r="A27" s="6" t="n">
        <v>21</v>
      </c>
      <c r="B27" s="7" t="inlineStr">
        <is>
          <t>جهاز ركض W970</t>
        </is>
      </c>
      <c r="C27" s="8" t="n">
        <v>165</v>
      </c>
      <c r="D27" s="9" t="n"/>
      <c r="E27" s="10">
        <f>IF(D27="","",C27-D27)</f>
        <v/>
      </c>
      <c r="F27" s="11">
        <f>IF(OR(D27="",C27=0),"",E27/C27)</f>
        <v/>
      </c>
      <c r="G27" s="12" t="inlineStr">
        <is>
          <t>فتح صفحة المنتج</t>
        </is>
      </c>
      <c r="H27" s="12" t="inlineStr">
        <is>
          <t>عرض الصورة</t>
        </is>
      </c>
    </row>
    <row r="28">
      <c r="A28" s="13" t="n">
        <v>22</v>
      </c>
      <c r="B28" s="14" t="inlineStr">
        <is>
          <t>جهاز كروس مغناطيسي</t>
        </is>
      </c>
      <c r="C28" s="15" t="n">
        <v>200</v>
      </c>
      <c r="D28" s="9" t="n"/>
      <c r="E28" s="16">
        <f>IF(D28="","",C28-D28)</f>
        <v/>
      </c>
      <c r="F28" s="17">
        <f>IF(OR(D28="",C28=0),"",E28/C28)</f>
        <v/>
      </c>
      <c r="G28" s="18" t="inlineStr">
        <is>
          <t>فتح صفحة المنتج</t>
        </is>
      </c>
      <c r="H28" s="18" t="inlineStr">
        <is>
          <t>عرض الصورة</t>
        </is>
      </c>
    </row>
    <row r="29">
      <c r="A29" s="6" t="n">
        <v>23</v>
      </c>
      <c r="B29" s="7" t="inlineStr">
        <is>
          <t>جهاز كروس مغناطيسي</t>
        </is>
      </c>
      <c r="C29" s="8" t="n">
        <v>200</v>
      </c>
      <c r="D29" s="9" t="n"/>
      <c r="E29" s="10">
        <f>IF(D29="","",C29-D29)</f>
        <v/>
      </c>
      <c r="F29" s="11">
        <f>IF(OR(D29="",C29=0),"",E29/C29)</f>
        <v/>
      </c>
      <c r="G29" s="12" t="inlineStr">
        <is>
          <t>فتح صفحة المنتج</t>
        </is>
      </c>
      <c r="H29" s="12" t="inlineStr">
        <is>
          <t>عرض الصورة</t>
        </is>
      </c>
    </row>
    <row r="30">
      <c r="A30" s="13" t="n">
        <v>24</v>
      </c>
      <c r="B30" s="14" t="inlineStr">
        <is>
          <t>جهاز كريزي الهزاز 100kg</t>
        </is>
      </c>
      <c r="C30" s="15" t="n">
        <v>55</v>
      </c>
      <c r="D30" s="9" t="n"/>
      <c r="E30" s="16">
        <f>IF(D30="","",C30-D30)</f>
        <v/>
      </c>
      <c r="F30" s="17">
        <f>IF(OR(D30="",C30=0),"",E30/C30)</f>
        <v/>
      </c>
      <c r="G30" s="18" t="inlineStr">
        <is>
          <t>فتح صفحة المنتج</t>
        </is>
      </c>
      <c r="H30" s="18" t="inlineStr">
        <is>
          <t>عرض الصورة</t>
        </is>
      </c>
    </row>
    <row r="31">
      <c r="A31" s="6" t="n">
        <v>25</v>
      </c>
      <c r="B31" s="7" t="inlineStr">
        <is>
          <t>جهاز كريزي الهزاز 120kg</t>
        </is>
      </c>
      <c r="C31" s="8" t="n">
        <v>55</v>
      </c>
      <c r="D31" s="9" t="n"/>
      <c r="E31" s="10">
        <f>IF(D31="","",C31-D31)</f>
        <v/>
      </c>
      <c r="F31" s="11">
        <f>IF(OR(D31="",C31=0),"",E31/C31)</f>
        <v/>
      </c>
      <c r="G31" s="12" t="inlineStr">
        <is>
          <t>فتح صفحة المنتج</t>
        </is>
      </c>
      <c r="H31" s="12" t="inlineStr">
        <is>
          <t>عرض الصورة</t>
        </is>
      </c>
    </row>
    <row r="32">
      <c r="A32" s="13" t="n">
        <v>26</v>
      </c>
      <c r="B32" s="14" t="inlineStr">
        <is>
          <t>جهاز كريزي الهزاز 150KG</t>
        </is>
      </c>
      <c r="C32" s="15" t="n">
        <v>85</v>
      </c>
      <c r="D32" s="9" t="n"/>
      <c r="E32" s="16">
        <f>IF(D32="","",C32-D32)</f>
        <v/>
      </c>
      <c r="F32" s="17">
        <f>IF(OR(D32="",C32=0),"",E32/C32)</f>
        <v/>
      </c>
      <c r="G32" s="18" t="inlineStr">
        <is>
          <t>فتح صفحة المنتج</t>
        </is>
      </c>
      <c r="H32" s="18" t="inlineStr">
        <is>
          <t>عرض الصورة</t>
        </is>
      </c>
    </row>
    <row r="33">
      <c r="A33" s="6" t="n">
        <v>27</v>
      </c>
      <c r="B33" s="7" t="inlineStr">
        <is>
          <t>جهاز مشي (سهل التخزين)</t>
        </is>
      </c>
      <c r="C33" s="8" t="n">
        <v>110</v>
      </c>
      <c r="D33" s="9" t="n"/>
      <c r="E33" s="10">
        <f>IF(D33="","",C33-D33)</f>
        <v/>
      </c>
      <c r="F33" s="11">
        <f>IF(OR(D33="",C33=0),"",E33/C33)</f>
        <v/>
      </c>
      <c r="G33" s="12" t="inlineStr">
        <is>
          <t>فتح صفحة المنتج</t>
        </is>
      </c>
      <c r="H33" s="12" t="inlineStr">
        <is>
          <t>عرض الصورة</t>
        </is>
      </c>
    </row>
    <row r="34">
      <c r="A34" s="13" t="n">
        <v>28</v>
      </c>
      <c r="B34" s="14" t="inlineStr">
        <is>
          <t>جهاز مشي سهل التخزين (مواصفات عاليه)</t>
        </is>
      </c>
      <c r="C34" s="15" t="n">
        <v>150</v>
      </c>
      <c r="D34" s="9" t="n"/>
      <c r="E34" s="16">
        <f>IF(D34="","",C34-D34)</f>
        <v/>
      </c>
      <c r="F34" s="17">
        <f>IF(OR(D34="",C34=0),"",E34/C34)</f>
        <v/>
      </c>
      <c r="G34" s="18" t="inlineStr">
        <is>
          <t>فتح صفحة المنتج</t>
        </is>
      </c>
      <c r="H34" s="18" t="inlineStr">
        <is>
          <t>عرض الصورة</t>
        </is>
      </c>
    </row>
    <row r="35">
      <c r="A35" s="6" t="n">
        <v>29</v>
      </c>
      <c r="B35" s="7" t="inlineStr">
        <is>
          <t>جهاز مشي فلات</t>
        </is>
      </c>
      <c r="C35" s="8" t="n">
        <v>125</v>
      </c>
      <c r="D35" s="9" t="n"/>
      <c r="E35" s="10">
        <f>IF(D35="","",C35-D35)</f>
        <v/>
      </c>
      <c r="F35" s="11">
        <f>IF(OR(D35="",C35=0),"",E35/C35)</f>
        <v/>
      </c>
      <c r="G35" s="12" t="inlineStr">
        <is>
          <t>فتح صفحة المنتج</t>
        </is>
      </c>
      <c r="H35" s="12" t="inlineStr">
        <is>
          <t>عرض الصورة</t>
        </is>
      </c>
    </row>
    <row r="36">
      <c r="A36" s="13" t="n">
        <v>30</v>
      </c>
      <c r="B36" s="14" t="inlineStr">
        <is>
          <t>جهاز مشي فلات</t>
        </is>
      </c>
      <c r="C36" s="15" t="n">
        <v>140</v>
      </c>
      <c r="D36" s="9" t="n"/>
      <c r="E36" s="16">
        <f>IF(D36="","",C36-D36)</f>
        <v/>
      </c>
      <c r="F36" s="17">
        <f>IF(OR(D36="",C36=0),"",E36/C36)</f>
        <v/>
      </c>
      <c r="G36" s="18" t="inlineStr">
        <is>
          <t>فتح صفحة المنتج</t>
        </is>
      </c>
      <c r="H36" s="18" t="inlineStr">
        <is>
          <t>عرض الصورة</t>
        </is>
      </c>
    </row>
    <row r="37">
      <c r="A37" s="6" t="n">
        <v>31</v>
      </c>
      <c r="B37" s="7" t="inlineStr">
        <is>
          <t>دامبلز ربر مع وصلة بار الأصلية</t>
        </is>
      </c>
      <c r="C37" s="8" t="n">
        <v>25</v>
      </c>
      <c r="D37" s="9" t="n"/>
      <c r="E37" s="10">
        <f>IF(D37="","",C37-D37)</f>
        <v/>
      </c>
      <c r="F37" s="11">
        <f>IF(OR(D37="",C37=0),"",E37/C37)</f>
        <v/>
      </c>
      <c r="G37" s="12" t="inlineStr">
        <is>
          <t>فتح صفحة المنتج</t>
        </is>
      </c>
      <c r="H37" s="12" t="inlineStr">
        <is>
          <t>عرض الصورة</t>
        </is>
      </c>
    </row>
    <row r="38">
      <c r="A38" s="13" t="n">
        <v>32</v>
      </c>
      <c r="B38" s="14" t="inlineStr">
        <is>
          <t>دامبلز سوفت</t>
        </is>
      </c>
      <c r="C38" s="15" t="n">
        <v>2</v>
      </c>
      <c r="D38" s="9" t="n"/>
      <c r="E38" s="16">
        <f>IF(D38="","",C38-D38)</f>
        <v/>
      </c>
      <c r="F38" s="17">
        <f>IF(OR(D38="",C38=0),"",E38/C38)</f>
        <v/>
      </c>
      <c r="G38" s="18" t="inlineStr">
        <is>
          <t>فتح صفحة المنتج</t>
        </is>
      </c>
      <c r="H38" s="18" t="inlineStr">
        <is>
          <t>عرض الصورة</t>
        </is>
      </c>
    </row>
    <row r="39">
      <c r="A39" s="6" t="n">
        <v>33</v>
      </c>
      <c r="B39" s="7" t="inlineStr">
        <is>
          <t>سبين بايك 150kg</t>
        </is>
      </c>
      <c r="C39" s="8" t="n">
        <v>170</v>
      </c>
      <c r="D39" s="9" t="n"/>
      <c r="E39" s="10">
        <f>IF(D39="","",C39-D39)</f>
        <v/>
      </c>
      <c r="F39" s="11">
        <f>IF(OR(D39="",C39=0),"",E39/C39)</f>
        <v/>
      </c>
      <c r="G39" s="12" t="inlineStr">
        <is>
          <t>فتح صفحة المنتج</t>
        </is>
      </c>
      <c r="H39" s="12" t="inlineStr">
        <is>
          <t>عرض الصورة</t>
        </is>
      </c>
    </row>
    <row r="40">
      <c r="A40" s="13" t="n">
        <v>34</v>
      </c>
      <c r="B40" s="14" t="inlineStr">
        <is>
          <t>سبين بايك Q3</t>
        </is>
      </c>
      <c r="C40" s="15" t="n">
        <v>115</v>
      </c>
      <c r="D40" s="9" t="n"/>
      <c r="E40" s="16">
        <f>IF(D40="","",C40-D40)</f>
        <v/>
      </c>
      <c r="F40" s="17">
        <f>IF(OR(D40="",C40=0),"",E40/C40)</f>
        <v/>
      </c>
      <c r="G40" s="18" t="inlineStr">
        <is>
          <t>فتح صفحة المنتج</t>
        </is>
      </c>
      <c r="H40" s="18" t="inlineStr">
        <is>
          <t>عرض الصورة</t>
        </is>
      </c>
    </row>
    <row r="41">
      <c r="A41" s="6" t="n">
        <v>35</v>
      </c>
      <c r="B41" s="7" t="inlineStr">
        <is>
          <t>سبين بايك ازرق 120kg</t>
        </is>
      </c>
      <c r="C41" s="8" t="n">
        <v>120</v>
      </c>
      <c r="D41" s="9" t="n"/>
      <c r="E41" s="10">
        <f>IF(D41="","",C41-D41)</f>
        <v/>
      </c>
      <c r="F41" s="11">
        <f>IF(OR(D41="",C41=0),"",E41/C41)</f>
        <v/>
      </c>
      <c r="G41" s="12" t="inlineStr">
        <is>
          <t>فتح صفحة المنتج</t>
        </is>
      </c>
      <c r="H41" s="12" t="inlineStr">
        <is>
          <t>عرض الصورة</t>
        </is>
      </c>
    </row>
    <row r="42">
      <c r="A42" s="13" t="n">
        <v>36</v>
      </c>
      <c r="B42" s="14" t="inlineStr">
        <is>
          <t>سبين بايك ثابت 120kg</t>
        </is>
      </c>
      <c r="C42" s="15" t="n">
        <v>130</v>
      </c>
      <c r="D42" s="9" t="n"/>
      <c r="E42" s="16">
        <f>IF(D42="","",C42-D42)</f>
        <v/>
      </c>
      <c r="F42" s="17">
        <f>IF(OR(D42="",C42=0),"",E42/C42)</f>
        <v/>
      </c>
      <c r="G42" s="18" t="inlineStr">
        <is>
          <t>فتح صفحة المنتج</t>
        </is>
      </c>
      <c r="H42" s="18" t="inlineStr">
        <is>
          <t>عرض الصورة</t>
        </is>
      </c>
    </row>
    <row r="43">
      <c r="A43" s="6" t="n">
        <v>37</v>
      </c>
      <c r="B43" s="7" t="inlineStr">
        <is>
          <t>ستاند سلة (218cm)</t>
        </is>
      </c>
      <c r="C43" s="8" t="n">
        <v>85</v>
      </c>
      <c r="D43" s="9" t="n"/>
      <c r="E43" s="10">
        <f>IF(D43="","",C43-D43)</f>
        <v/>
      </c>
      <c r="F43" s="11">
        <f>IF(OR(D43="",C43=0),"",E43/C43)</f>
        <v/>
      </c>
      <c r="G43" s="12" t="inlineStr">
        <is>
          <t>فتح صفحة المنتج</t>
        </is>
      </c>
      <c r="H43" s="12" t="inlineStr">
        <is>
          <t>عرض الصورة</t>
        </is>
      </c>
    </row>
    <row r="44">
      <c r="A44" s="13" t="n">
        <v>38</v>
      </c>
      <c r="B44" s="14" t="inlineStr">
        <is>
          <t>ستاند سلة قانوني</t>
        </is>
      </c>
      <c r="C44" s="15" t="n">
        <v>200</v>
      </c>
      <c r="D44" s="9" t="n"/>
      <c r="E44" s="16">
        <f>IF(D44="","",C44-D44)</f>
        <v/>
      </c>
      <c r="F44" s="17">
        <f>IF(OR(D44="",C44=0),"",E44/C44)</f>
        <v/>
      </c>
      <c r="G44" s="18" t="inlineStr">
        <is>
          <t>فتح صفحة المنتج</t>
        </is>
      </c>
      <c r="H44" s="18" t="inlineStr">
        <is>
          <t>عرض الصورة</t>
        </is>
      </c>
    </row>
    <row r="45">
      <c r="A45" s="6" t="n">
        <v>39</v>
      </c>
      <c r="B45" s="7" t="inlineStr">
        <is>
          <t>ستاند عصي البلياردو</t>
        </is>
      </c>
      <c r="C45" s="8" t="n">
        <v>10</v>
      </c>
      <c r="D45" s="9" t="n"/>
      <c r="E45" s="10">
        <f>IF(D45="","",C45-D45)</f>
        <v/>
      </c>
      <c r="F45" s="11">
        <f>IF(OR(D45="",C45=0),"",E45/C45)</f>
        <v/>
      </c>
      <c r="G45" s="12" t="inlineStr">
        <is>
          <t>فتح صفحة المنتج</t>
        </is>
      </c>
      <c r="H45" s="12" t="inlineStr">
        <is>
          <t>عرض الصورة</t>
        </is>
      </c>
    </row>
    <row r="46">
      <c r="A46" s="13" t="n">
        <v>40</v>
      </c>
      <c r="B46" s="14" t="inlineStr">
        <is>
          <t>طاولة 4 في 1</t>
        </is>
      </c>
      <c r="C46" s="15" t="n">
        <v>500</v>
      </c>
      <c r="D46" s="9" t="n"/>
      <c r="E46" s="16">
        <f>IF(D46="","",C46-D46)</f>
        <v/>
      </c>
      <c r="F46" s="17">
        <f>IF(OR(D46="",C46=0),"",E46/C46)</f>
        <v/>
      </c>
      <c r="G46" s="18" t="inlineStr">
        <is>
          <t>فتح صفحة المنتج</t>
        </is>
      </c>
      <c r="H46" s="18" t="inlineStr">
        <is>
          <t>عرض الصورة</t>
        </is>
      </c>
    </row>
    <row r="47">
      <c r="A47" s="6" t="n">
        <v>41</v>
      </c>
      <c r="B47" s="7" t="inlineStr">
        <is>
          <t>طاولة بلياردو 7 قدم</t>
        </is>
      </c>
      <c r="C47" s="8" t="n">
        <v>350</v>
      </c>
      <c r="D47" s="9" t="n"/>
      <c r="E47" s="10">
        <f>IF(D47="","",C47-D47)</f>
        <v/>
      </c>
      <c r="F47" s="11">
        <f>IF(OR(D47="",C47=0),"",E47/C47)</f>
        <v/>
      </c>
      <c r="G47" s="12" t="inlineStr">
        <is>
          <t>فتح صفحة المنتج</t>
        </is>
      </c>
      <c r="H47" s="12" t="inlineStr">
        <is>
          <t>عرض الصورة</t>
        </is>
      </c>
    </row>
    <row r="48">
      <c r="A48" s="13" t="n">
        <v>42</v>
      </c>
      <c r="B48" s="14" t="inlineStr">
        <is>
          <t>طاولة بلياردو 8 قدم</t>
        </is>
      </c>
      <c r="C48" s="15" t="n">
        <v>400</v>
      </c>
      <c r="D48" s="9" t="n"/>
      <c r="E48" s="16">
        <f>IF(D48="","",C48-D48)</f>
        <v/>
      </c>
      <c r="F48" s="17">
        <f>IF(OR(D48="",C48=0),"",E48/C48)</f>
        <v/>
      </c>
      <c r="G48" s="18" t="inlineStr">
        <is>
          <t>فتح صفحة المنتج</t>
        </is>
      </c>
      <c r="H48" s="18" t="inlineStr">
        <is>
          <t>عرض الصورة</t>
        </is>
      </c>
    </row>
    <row r="49">
      <c r="A49" s="6" t="n">
        <v>43</v>
      </c>
      <c r="B49" s="7" t="inlineStr">
        <is>
          <t>طاولة تنس (Jo sport)</t>
        </is>
      </c>
      <c r="C49" s="8" t="n">
        <v>170</v>
      </c>
      <c r="D49" s="9" t="n"/>
      <c r="E49" s="10">
        <f>IF(D49="","",C49-D49)</f>
        <v/>
      </c>
      <c r="F49" s="11">
        <f>IF(OR(D49="",C49=0),"",E49/C49)</f>
        <v/>
      </c>
      <c r="G49" s="12" t="inlineStr">
        <is>
          <t>فتح صفحة المنتج</t>
        </is>
      </c>
      <c r="H49" s="12" t="inlineStr">
        <is>
          <t>عرض الصورة</t>
        </is>
      </c>
    </row>
    <row r="50">
      <c r="A50" s="13" t="n">
        <v>44</v>
      </c>
      <c r="B50" s="14" t="inlineStr">
        <is>
          <t>طاولة تنس (Power land)</t>
        </is>
      </c>
      <c r="C50" s="15" t="n">
        <v>150</v>
      </c>
      <c r="D50" s="9" t="n"/>
      <c r="E50" s="16">
        <f>IF(D50="","",C50-D50)</f>
        <v/>
      </c>
      <c r="F50" s="17">
        <f>IF(OR(D50="",C50=0),"",E50/C50)</f>
        <v/>
      </c>
      <c r="G50" s="18" t="inlineStr">
        <is>
          <t>فتح صفحة المنتج</t>
        </is>
      </c>
      <c r="H50" s="18" t="inlineStr">
        <is>
          <t>عرض الصورة</t>
        </is>
      </c>
    </row>
    <row r="51">
      <c r="A51" s="6" t="n">
        <v>45</v>
      </c>
      <c r="B51" s="7" t="inlineStr">
        <is>
          <t>طاولة تنس (Stiga)</t>
        </is>
      </c>
      <c r="C51" s="8" t="n">
        <v>200</v>
      </c>
      <c r="D51" s="9" t="n"/>
      <c r="E51" s="10">
        <f>IF(D51="","",C51-D51)</f>
        <v/>
      </c>
      <c r="F51" s="11">
        <f>IF(OR(D51="",C51=0),"",E51/C51)</f>
        <v/>
      </c>
      <c r="G51" s="12" t="inlineStr">
        <is>
          <t>فتح صفحة المنتج</t>
        </is>
      </c>
      <c r="H51" s="12" t="inlineStr">
        <is>
          <t>عرض الصورة</t>
        </is>
      </c>
    </row>
    <row r="52">
      <c r="A52" s="13" t="n">
        <v>46</v>
      </c>
      <c r="B52" s="14" t="inlineStr">
        <is>
          <t>طاولة تنس (Stiga)</t>
        </is>
      </c>
      <c r="C52" s="15" t="n">
        <v>180</v>
      </c>
      <c r="D52" s="9" t="n"/>
      <c r="E52" s="16">
        <f>IF(D52="","",C52-D52)</f>
        <v/>
      </c>
      <c r="F52" s="17">
        <f>IF(OR(D52="",C52=0),"",E52/C52)</f>
        <v/>
      </c>
      <c r="G52" s="18" t="inlineStr">
        <is>
          <t>فتح صفحة المنتج</t>
        </is>
      </c>
      <c r="H52" s="18" t="inlineStr">
        <is>
          <t>عرض الصورة</t>
        </is>
      </c>
    </row>
    <row r="53">
      <c r="A53" s="6" t="n">
        <v>47</v>
      </c>
      <c r="B53" s="7" t="inlineStr">
        <is>
          <t>طاولة تنس استخدام خارجي</t>
        </is>
      </c>
      <c r="C53" s="8" t="n">
        <v>200</v>
      </c>
      <c r="D53" s="9" t="n"/>
      <c r="E53" s="10">
        <f>IF(D53="","",C53-D53)</f>
        <v/>
      </c>
      <c r="F53" s="11">
        <f>IF(OR(D53="",C53=0),"",E53/C53)</f>
        <v/>
      </c>
      <c r="G53" s="12" t="inlineStr">
        <is>
          <t>فتح صفحة المنتج</t>
        </is>
      </c>
      <c r="H53" s="12" t="inlineStr">
        <is>
          <t>عرض الصورة</t>
        </is>
      </c>
    </row>
    <row r="54">
      <c r="A54" s="13" t="n">
        <v>48</v>
      </c>
      <c r="B54" s="14" t="inlineStr">
        <is>
          <t>طاولة هوكي الهوائية</t>
        </is>
      </c>
      <c r="C54" s="15" t="n">
        <v>260</v>
      </c>
      <c r="D54" s="9" t="n"/>
      <c r="E54" s="16">
        <f>IF(D54="","",C54-D54)</f>
        <v/>
      </c>
      <c r="F54" s="17">
        <f>IF(OR(D54="",C54=0),"",E54/C54)</f>
        <v/>
      </c>
      <c r="G54" s="18" t="inlineStr">
        <is>
          <t>فتح صفحة المنتج</t>
        </is>
      </c>
      <c r="H54" s="18" t="inlineStr">
        <is>
          <t>عرض الصورة</t>
        </is>
      </c>
    </row>
    <row r="55">
      <c r="A55" s="6" t="n">
        <v>49</v>
      </c>
      <c r="B55" s="7" t="inlineStr">
        <is>
          <t>طقم اوزان كروم</t>
        </is>
      </c>
      <c r="C55" s="8" t="n">
        <v>95</v>
      </c>
      <c r="D55" s="9" t="n"/>
      <c r="E55" s="10">
        <f>IF(D55="","",C55-D55)</f>
        <v/>
      </c>
      <c r="F55" s="11">
        <f>IF(OR(D55="",C55=0),"",E55/C55)</f>
        <v/>
      </c>
      <c r="G55" s="12" t="inlineStr">
        <is>
          <t>فتح صفحة المنتج</t>
        </is>
      </c>
      <c r="H55" s="12" t="inlineStr">
        <is>
          <t>عرض الصورة</t>
        </is>
      </c>
    </row>
    <row r="56">
      <c r="A56" s="13" t="n">
        <v>50</v>
      </c>
      <c r="B56" s="14" t="inlineStr">
        <is>
          <t>طقم دامبلز مع بار مستقيم</t>
        </is>
      </c>
      <c r="C56" s="15" t="n">
        <v>20</v>
      </c>
      <c r="D56" s="9" t="n"/>
      <c r="E56" s="16">
        <f>IF(D56="","",C56-D56)</f>
        <v/>
      </c>
      <c r="F56" s="17">
        <f>IF(OR(D56="",C56=0),"",E56/C56)</f>
        <v/>
      </c>
      <c r="G56" s="18" t="inlineStr">
        <is>
          <t>فتح صفحة المنتج</t>
        </is>
      </c>
      <c r="H56" s="18" t="inlineStr">
        <is>
          <t>عرض الصورة</t>
        </is>
      </c>
    </row>
    <row r="57">
      <c r="A57" s="6" t="n">
        <v>51</v>
      </c>
      <c r="B57" s="7" t="inlineStr">
        <is>
          <t>طقم دامبلز مع بار مستقيم وأعوج</t>
        </is>
      </c>
      <c r="C57" s="8" t="n">
        <v>30</v>
      </c>
      <c r="D57" s="9" t="n"/>
      <c r="E57" s="10">
        <f>IF(D57="","",C57-D57)</f>
        <v/>
      </c>
      <c r="F57" s="11">
        <f>IF(OR(D57="",C57=0),"",E57/C57)</f>
        <v/>
      </c>
      <c r="G57" s="12" t="inlineStr">
        <is>
          <t>فتح صفحة المنتج</t>
        </is>
      </c>
      <c r="H57" s="12" t="inlineStr">
        <is>
          <t>عرض الصورة</t>
        </is>
      </c>
    </row>
    <row r="58">
      <c r="A58" s="13" t="n">
        <v>52</v>
      </c>
      <c r="B58" s="14" t="inlineStr">
        <is>
          <t>طقم كرات بلياردو</t>
        </is>
      </c>
      <c r="C58" s="15" t="n">
        <v>18</v>
      </c>
      <c r="D58" s="9" t="n"/>
      <c r="E58" s="16">
        <f>IF(D58="","",C58-D58)</f>
        <v/>
      </c>
      <c r="F58" s="17">
        <f>IF(OR(D58="",C58=0),"",E58/C58)</f>
        <v/>
      </c>
      <c r="G58" s="18" t="inlineStr">
        <is>
          <t>فتح صفحة المنتج</t>
        </is>
      </c>
      <c r="H58" s="18" t="inlineStr">
        <is>
          <t>عرض الصورة</t>
        </is>
      </c>
    </row>
    <row r="59">
      <c r="A59" s="6" t="n">
        <v>53</v>
      </c>
      <c r="B59" s="7" t="inlineStr">
        <is>
          <t>كرات تنس (Stiga)</t>
        </is>
      </c>
      <c r="C59" s="8" t="n">
        <v>5</v>
      </c>
      <c r="D59" s="9" t="n"/>
      <c r="E59" s="10">
        <f>IF(D59="","",C59-D59)</f>
        <v/>
      </c>
      <c r="F59" s="11">
        <f>IF(OR(D59="",C59=0),"",E59/C59)</f>
        <v/>
      </c>
      <c r="G59" s="12" t="inlineStr">
        <is>
          <t>فتح صفحة المنتج</t>
        </is>
      </c>
      <c r="H59" s="12" t="inlineStr">
        <is>
          <t>عرض الصورة</t>
        </is>
      </c>
    </row>
    <row r="60">
      <c r="A60" s="13" t="n">
        <v>54</v>
      </c>
      <c r="B60" s="14" t="inlineStr">
        <is>
          <t>كرات تنس Donic</t>
        </is>
      </c>
      <c r="C60" s="15" t="n">
        <v>7</v>
      </c>
      <c r="D60" s="9" t="n"/>
      <c r="E60" s="16">
        <f>IF(D60="","",C60-D60)</f>
        <v/>
      </c>
      <c r="F60" s="17">
        <f>IF(OR(D60="",C60=0),"",E60/C60)</f>
        <v/>
      </c>
      <c r="G60" s="18" t="inlineStr">
        <is>
          <t>فتح صفحة المنتج</t>
        </is>
      </c>
      <c r="H60" s="18" t="inlineStr">
        <is>
          <t>عرض الصورة</t>
        </is>
      </c>
    </row>
    <row r="61">
      <c r="A61" s="6" t="n">
        <v>55</v>
      </c>
      <c r="B61" s="7" t="inlineStr">
        <is>
          <t>كرة سلة (Molten)</t>
        </is>
      </c>
      <c r="C61" s="8" t="n">
        <v>15</v>
      </c>
      <c r="D61" s="9" t="n"/>
      <c r="E61" s="10">
        <f>IF(D61="","",C61-D61)</f>
        <v/>
      </c>
      <c r="F61" s="11">
        <f>IF(OR(D61="",C61=0),"",E61/C61)</f>
        <v/>
      </c>
      <c r="G61" s="12" t="inlineStr">
        <is>
          <t>فتح صفحة المنتج</t>
        </is>
      </c>
      <c r="H61" s="12" t="inlineStr">
        <is>
          <t>عرض الصورة</t>
        </is>
      </c>
    </row>
    <row r="62">
      <c r="A62" s="13" t="n">
        <v>56</v>
      </c>
      <c r="B62" s="14" t="inlineStr">
        <is>
          <t>كرة سلة (Movemen)</t>
        </is>
      </c>
      <c r="C62" s="15" t="n">
        <v>15</v>
      </c>
      <c r="D62" s="9" t="n"/>
      <c r="E62" s="16">
        <f>IF(D62="","",C62-D62)</f>
        <v/>
      </c>
      <c r="F62" s="17">
        <f>IF(OR(D62="",C62=0),"",E62/C62)</f>
        <v/>
      </c>
      <c r="G62" s="18" t="inlineStr">
        <is>
          <t>فتح صفحة المنتج</t>
        </is>
      </c>
      <c r="H62" s="18" t="inlineStr">
        <is>
          <t>عرض الصورة</t>
        </is>
      </c>
    </row>
    <row r="63">
      <c r="A63" s="6" t="n">
        <v>57</v>
      </c>
      <c r="B63" s="7" t="inlineStr">
        <is>
          <t>كرة سلة (Weinaer)</t>
        </is>
      </c>
      <c r="C63" s="8" t="n">
        <v>10</v>
      </c>
      <c r="D63" s="9" t="n"/>
      <c r="E63" s="10">
        <f>IF(D63="","",C63-D63)</f>
        <v/>
      </c>
      <c r="F63" s="11">
        <f>IF(OR(D63="",C63=0),"",E63/C63)</f>
        <v/>
      </c>
      <c r="G63" s="12" t="inlineStr">
        <is>
          <t>فتح صفحة المنتج</t>
        </is>
      </c>
      <c r="H63" s="12" t="inlineStr">
        <is>
          <t>عرض الصورة</t>
        </is>
      </c>
    </row>
    <row r="64">
      <c r="A64" s="13" t="n">
        <v>58</v>
      </c>
      <c r="B64" s="14" t="inlineStr">
        <is>
          <t>كروس مع بايك بمقعد</t>
        </is>
      </c>
      <c r="C64" s="15" t="n">
        <v>175</v>
      </c>
      <c r="D64" s="9" t="n"/>
      <c r="E64" s="16">
        <f>IF(D64="","",C64-D64)</f>
        <v/>
      </c>
      <c r="F64" s="17">
        <f>IF(OR(D64="",C64=0),"",E64/C64)</f>
        <v/>
      </c>
      <c r="G64" s="18" t="inlineStr">
        <is>
          <t>فتح صفحة المنتج</t>
        </is>
      </c>
      <c r="H64" s="18" t="inlineStr">
        <is>
          <t>عرض الصورة</t>
        </is>
      </c>
    </row>
    <row r="65">
      <c r="A65" s="6" t="n">
        <v>59</v>
      </c>
      <c r="B65" s="7" t="inlineStr">
        <is>
          <t>كفر طاولة تنس</t>
        </is>
      </c>
      <c r="C65" s="8" t="n">
        <v>20</v>
      </c>
      <c r="D65" s="9" t="n"/>
      <c r="E65" s="10">
        <f>IF(D65="","",C65-D65)</f>
        <v/>
      </c>
      <c r="F65" s="11">
        <f>IF(OR(D65="",C65=0),"",E65/C65)</f>
        <v/>
      </c>
      <c r="G65" s="12" t="inlineStr">
        <is>
          <t>فتح صفحة المنتج</t>
        </is>
      </c>
      <c r="H65" s="12" t="inlineStr">
        <is>
          <t>عرض الصورة</t>
        </is>
      </c>
    </row>
    <row r="66">
      <c r="A66" s="13" t="n">
        <v>60</v>
      </c>
      <c r="B66" s="14" t="inlineStr">
        <is>
          <t>كيبل كروس الأصلي</t>
        </is>
      </c>
      <c r="C66" s="15" t="n">
        <v>500</v>
      </c>
      <c r="D66" s="9" t="n"/>
      <c r="E66" s="16">
        <f>IF(D66="","",C66-D66)</f>
        <v/>
      </c>
      <c r="F66" s="17">
        <f>IF(OR(D66="",C66=0),"",E66/C66)</f>
        <v/>
      </c>
      <c r="G66" s="18" t="inlineStr">
        <is>
          <t>فتح صفحة المنتج</t>
        </is>
      </c>
      <c r="H66" s="18" t="inlineStr">
        <is>
          <t>عرض الصورة</t>
        </is>
      </c>
    </row>
    <row r="67">
      <c r="A67" s="6" t="n">
        <v>61</v>
      </c>
      <c r="B67" s="7" t="inlineStr">
        <is>
          <t>كيبل كروس مع سميث</t>
        </is>
      </c>
      <c r="C67" s="8" t="n">
        <v>750</v>
      </c>
      <c r="D67" s="9" t="n"/>
      <c r="E67" s="10">
        <f>IF(D67="","",C67-D67)</f>
        <v/>
      </c>
      <c r="F67" s="11">
        <f>IF(OR(D67="",C67=0),"",E67/C67)</f>
        <v/>
      </c>
      <c r="G67" s="12" t="inlineStr">
        <is>
          <t>فتح صفحة المنتج</t>
        </is>
      </c>
      <c r="H67" s="12" t="inlineStr">
        <is>
          <t>عرض الصورة</t>
        </is>
      </c>
    </row>
    <row r="68">
      <c r="A68" s="13" t="n">
        <v>62</v>
      </c>
      <c r="B68" s="14" t="inlineStr">
        <is>
          <t>لاعبين طاولة بيبي فوت</t>
        </is>
      </c>
      <c r="C68" s="15" t="n">
        <v>1.5</v>
      </c>
      <c r="D68" s="9" t="n"/>
      <c r="E68" s="16">
        <f>IF(D68="","",C68-D68)</f>
        <v/>
      </c>
      <c r="F68" s="17">
        <f>IF(OR(D68="",C68=0),"",E68/C68)</f>
        <v/>
      </c>
      <c r="G68" s="18" t="inlineStr">
        <is>
          <t>فتح صفحة المنتج</t>
        </is>
      </c>
      <c r="H68" s="18" t="inlineStr">
        <is>
          <t>عرض الصورة</t>
        </is>
      </c>
    </row>
    <row r="69">
      <c r="A69" s="6" t="n">
        <v>63</v>
      </c>
      <c r="B69" s="7" t="inlineStr">
        <is>
          <t>مثلث بلياردو</t>
        </is>
      </c>
      <c r="C69" s="8" t="n">
        <v>2</v>
      </c>
      <c r="D69" s="9" t="n"/>
      <c r="E69" s="10">
        <f>IF(D69="","",C69-D69)</f>
        <v/>
      </c>
      <c r="F69" s="11">
        <f>IF(OR(D69="",C69=0),"",E69/C69)</f>
        <v/>
      </c>
      <c r="G69" s="12" t="inlineStr">
        <is>
          <t>فتح صفحة المنتج</t>
        </is>
      </c>
      <c r="H69" s="12" t="inlineStr">
        <is>
          <t>عرض الصورة</t>
        </is>
      </c>
    </row>
    <row r="70">
      <c r="A70" s="13" t="n">
        <v>64</v>
      </c>
      <c r="B70" s="14" t="inlineStr">
        <is>
          <t>مضارب تنس</t>
        </is>
      </c>
      <c r="C70" s="15" t="n">
        <v>20</v>
      </c>
      <c r="D70" s="9" t="n"/>
      <c r="E70" s="16">
        <f>IF(D70="","",C70-D70)</f>
        <v/>
      </c>
      <c r="F70" s="17">
        <f>IF(OR(D70="",C70=0),"",E70/C70)</f>
        <v/>
      </c>
      <c r="G70" s="18" t="inlineStr">
        <is>
          <t>فتح صفحة المنتج</t>
        </is>
      </c>
      <c r="H70" s="18" t="inlineStr">
        <is>
          <t>عرض الصورة</t>
        </is>
      </c>
    </row>
    <row r="71">
      <c r="A71" s="6" t="n">
        <v>65</v>
      </c>
      <c r="B71" s="7" t="inlineStr">
        <is>
          <t>مضارب هوكي</t>
        </is>
      </c>
      <c r="C71" s="8" t="n">
        <v>7</v>
      </c>
      <c r="D71" s="9" t="n"/>
      <c r="E71" s="10">
        <f>IF(D71="","",C71-D71)</f>
        <v/>
      </c>
      <c r="F71" s="11">
        <f>IF(OR(D71="",C71=0),"",E71/C71)</f>
        <v/>
      </c>
      <c r="G71" s="12" t="inlineStr">
        <is>
          <t>فتح صفحة المنتج</t>
        </is>
      </c>
      <c r="H71" s="12" t="inlineStr">
        <is>
          <t>عرض الصورة</t>
        </is>
      </c>
    </row>
    <row r="72">
      <c r="A72" s="13" t="n">
        <v>66</v>
      </c>
      <c r="B72" s="14" t="inlineStr">
        <is>
          <t>ميني بايك الاصلي</t>
        </is>
      </c>
      <c r="C72" s="15" t="n">
        <v>90</v>
      </c>
      <c r="D72" s="9" t="n"/>
      <c r="E72" s="16">
        <f>IF(D72="","",C72-D72)</f>
        <v/>
      </c>
      <c r="F72" s="17">
        <f>IF(OR(D72="",C72=0),"",E72/C72)</f>
        <v/>
      </c>
      <c r="G72" s="18" t="inlineStr">
        <is>
          <t>فتح صفحة المنتج</t>
        </is>
      </c>
      <c r="H72" s="18" t="inlineStr">
        <is>
          <t>عرض الصورة</t>
        </is>
      </c>
    </row>
    <row r="73">
      <c r="A73" s="6" t="n">
        <v>67</v>
      </c>
      <c r="B73" s="7" t="inlineStr">
        <is>
          <t>هوم جيم 5 محطات</t>
        </is>
      </c>
      <c r="C73" s="8" t="n">
        <v>600</v>
      </c>
      <c r="D73" s="9" t="n"/>
      <c r="E73" s="10">
        <f>IF(D73="","",C73-D73)</f>
        <v/>
      </c>
      <c r="F73" s="11">
        <f>IF(OR(D73="",C73=0),"",E73/C73)</f>
        <v/>
      </c>
      <c r="G73" s="12" t="inlineStr">
        <is>
          <t>فتح صفحة المنتج</t>
        </is>
      </c>
      <c r="H73" s="12" t="inlineStr">
        <is>
          <t>عرض الصورة</t>
        </is>
      </c>
    </row>
    <row r="74">
      <c r="A74" s="13" t="n">
        <v>68</v>
      </c>
      <c r="B74" s="14" t="inlineStr">
        <is>
          <t>هوم جيم ملتي مع دفاش</t>
        </is>
      </c>
      <c r="C74" s="15" t="n">
        <v>700</v>
      </c>
      <c r="D74" s="9" t="n"/>
      <c r="E74" s="16">
        <f>IF(D74="","",C74-D74)</f>
        <v/>
      </c>
      <c r="F74" s="17">
        <f>IF(OR(D74="",C74=0),"",E74/C74)</f>
        <v/>
      </c>
      <c r="G74" s="18" t="inlineStr">
        <is>
          <t>فتح صفحة المنتج</t>
        </is>
      </c>
      <c r="H74" s="18" t="inlineStr">
        <is>
          <t>عرض الصورة</t>
        </is>
      </c>
    </row>
    <row r="75">
      <c r="A75" s="6" t="n">
        <v>69</v>
      </c>
      <c r="B75" s="7" t="inlineStr">
        <is>
          <t>هوم جيم منزلي</t>
        </is>
      </c>
      <c r="C75" s="8" t="n">
        <v>280</v>
      </c>
      <c r="D75" s="9" t="n"/>
      <c r="E75" s="10">
        <f>IF(D75="","",C75-D75)</f>
        <v/>
      </c>
      <c r="F75" s="11">
        <f>IF(OR(D75="",C75=0),"",E75/C75)</f>
        <v/>
      </c>
      <c r="G75" s="12" t="inlineStr">
        <is>
          <t>فتح صفحة المنتج</t>
        </is>
      </c>
      <c r="H75" s="12" t="inlineStr">
        <is>
          <t>عرض الصورة</t>
        </is>
      </c>
    </row>
    <row r="76">
      <c r="A76" s="20" t="n"/>
      <c r="B76" s="21" t="inlineStr">
        <is>
          <t>الإجمالي</t>
        </is>
      </c>
      <c r="C76" s="22">
        <f>SUM(C7:C75)</f>
        <v/>
      </c>
      <c r="D76" s="22">
        <f>SUM(D7:D75)</f>
        <v/>
      </c>
      <c r="E76" s="22">
        <f>SUM(E7:E75)</f>
        <v/>
      </c>
      <c r="F76" s="23">
        <f>IF(C76=0,"",E76/C76)</f>
        <v/>
      </c>
      <c r="G76" s="20" t="n"/>
      <c r="H76" s="20" t="n"/>
    </row>
  </sheetData>
  <autoFilter ref="A6:H75"/>
  <mergeCells count="4">
    <mergeCell ref="A4:H4"/>
    <mergeCell ref="A3:H3"/>
    <mergeCell ref="A2:H2"/>
    <mergeCell ref="A1:H1"/>
  </mergeCells>
  <hyperlinks>
    <hyperlink xmlns:r="http://schemas.openxmlformats.org/officeDocument/2006/relationships" ref="G7" r:id="rId1"/>
    <hyperlink xmlns:r="http://schemas.openxmlformats.org/officeDocument/2006/relationships" ref="H7" r:id="rId2"/>
    <hyperlink xmlns:r="http://schemas.openxmlformats.org/officeDocument/2006/relationships" ref="G8" r:id="rId3"/>
    <hyperlink xmlns:r="http://schemas.openxmlformats.org/officeDocument/2006/relationships" ref="H8" r:id="rId4"/>
    <hyperlink xmlns:r="http://schemas.openxmlformats.org/officeDocument/2006/relationships" ref="G9" r:id="rId5"/>
    <hyperlink xmlns:r="http://schemas.openxmlformats.org/officeDocument/2006/relationships" ref="H9" r:id="rId6"/>
    <hyperlink xmlns:r="http://schemas.openxmlformats.org/officeDocument/2006/relationships" ref="G10" r:id="rId7"/>
    <hyperlink xmlns:r="http://schemas.openxmlformats.org/officeDocument/2006/relationships" ref="H10" r:id="rId8"/>
    <hyperlink xmlns:r="http://schemas.openxmlformats.org/officeDocument/2006/relationships" ref="G11" r:id="rId9"/>
    <hyperlink xmlns:r="http://schemas.openxmlformats.org/officeDocument/2006/relationships" ref="H11" r:id="rId10"/>
    <hyperlink xmlns:r="http://schemas.openxmlformats.org/officeDocument/2006/relationships" ref="G12" r:id="rId11"/>
    <hyperlink xmlns:r="http://schemas.openxmlformats.org/officeDocument/2006/relationships" ref="H12" r:id="rId12"/>
    <hyperlink xmlns:r="http://schemas.openxmlformats.org/officeDocument/2006/relationships" ref="G13" r:id="rId13"/>
    <hyperlink xmlns:r="http://schemas.openxmlformats.org/officeDocument/2006/relationships" ref="H13" r:id="rId14"/>
    <hyperlink xmlns:r="http://schemas.openxmlformats.org/officeDocument/2006/relationships" ref="G14" r:id="rId15"/>
    <hyperlink xmlns:r="http://schemas.openxmlformats.org/officeDocument/2006/relationships" ref="H14" r:id="rId16"/>
    <hyperlink xmlns:r="http://schemas.openxmlformats.org/officeDocument/2006/relationships" ref="G15" r:id="rId17"/>
    <hyperlink xmlns:r="http://schemas.openxmlformats.org/officeDocument/2006/relationships" ref="H15" r:id="rId18"/>
    <hyperlink xmlns:r="http://schemas.openxmlformats.org/officeDocument/2006/relationships" ref="G16" r:id="rId19"/>
    <hyperlink xmlns:r="http://schemas.openxmlformats.org/officeDocument/2006/relationships" ref="H16" r:id="rId20"/>
    <hyperlink xmlns:r="http://schemas.openxmlformats.org/officeDocument/2006/relationships" ref="G17" r:id="rId21"/>
    <hyperlink xmlns:r="http://schemas.openxmlformats.org/officeDocument/2006/relationships" ref="H17" r:id="rId22"/>
    <hyperlink xmlns:r="http://schemas.openxmlformats.org/officeDocument/2006/relationships" ref="G18" r:id="rId23"/>
    <hyperlink xmlns:r="http://schemas.openxmlformats.org/officeDocument/2006/relationships" ref="H18" r:id="rId24"/>
    <hyperlink xmlns:r="http://schemas.openxmlformats.org/officeDocument/2006/relationships" ref="G19" r:id="rId25"/>
    <hyperlink xmlns:r="http://schemas.openxmlformats.org/officeDocument/2006/relationships" ref="H19" r:id="rId26"/>
    <hyperlink xmlns:r="http://schemas.openxmlformats.org/officeDocument/2006/relationships" ref="G20" r:id="rId27"/>
    <hyperlink xmlns:r="http://schemas.openxmlformats.org/officeDocument/2006/relationships" ref="H20" r:id="rId28"/>
    <hyperlink xmlns:r="http://schemas.openxmlformats.org/officeDocument/2006/relationships" ref="G21" r:id="rId29"/>
    <hyperlink xmlns:r="http://schemas.openxmlformats.org/officeDocument/2006/relationships" ref="H21" r:id="rId30"/>
    <hyperlink xmlns:r="http://schemas.openxmlformats.org/officeDocument/2006/relationships" ref="G22" r:id="rId31"/>
    <hyperlink xmlns:r="http://schemas.openxmlformats.org/officeDocument/2006/relationships" ref="H22" r:id="rId32"/>
    <hyperlink xmlns:r="http://schemas.openxmlformats.org/officeDocument/2006/relationships" ref="G23" r:id="rId33"/>
    <hyperlink xmlns:r="http://schemas.openxmlformats.org/officeDocument/2006/relationships" ref="H23" r:id="rId34"/>
    <hyperlink xmlns:r="http://schemas.openxmlformats.org/officeDocument/2006/relationships" ref="G24" r:id="rId35"/>
    <hyperlink xmlns:r="http://schemas.openxmlformats.org/officeDocument/2006/relationships" ref="H24" r:id="rId36"/>
    <hyperlink xmlns:r="http://schemas.openxmlformats.org/officeDocument/2006/relationships" ref="G25" r:id="rId37"/>
    <hyperlink xmlns:r="http://schemas.openxmlformats.org/officeDocument/2006/relationships" ref="H25" r:id="rId38"/>
    <hyperlink xmlns:r="http://schemas.openxmlformats.org/officeDocument/2006/relationships" ref="G26" r:id="rId39"/>
    <hyperlink xmlns:r="http://schemas.openxmlformats.org/officeDocument/2006/relationships" ref="H26" r:id="rId40"/>
    <hyperlink xmlns:r="http://schemas.openxmlformats.org/officeDocument/2006/relationships" ref="G27" r:id="rId41"/>
    <hyperlink xmlns:r="http://schemas.openxmlformats.org/officeDocument/2006/relationships" ref="H27" r:id="rId42"/>
    <hyperlink xmlns:r="http://schemas.openxmlformats.org/officeDocument/2006/relationships" ref="G28" r:id="rId43"/>
    <hyperlink xmlns:r="http://schemas.openxmlformats.org/officeDocument/2006/relationships" ref="H28" r:id="rId44"/>
    <hyperlink xmlns:r="http://schemas.openxmlformats.org/officeDocument/2006/relationships" ref="G29" r:id="rId45"/>
    <hyperlink xmlns:r="http://schemas.openxmlformats.org/officeDocument/2006/relationships" ref="H29" r:id="rId46"/>
    <hyperlink xmlns:r="http://schemas.openxmlformats.org/officeDocument/2006/relationships" ref="G30" r:id="rId47"/>
    <hyperlink xmlns:r="http://schemas.openxmlformats.org/officeDocument/2006/relationships" ref="H30" r:id="rId48"/>
    <hyperlink xmlns:r="http://schemas.openxmlformats.org/officeDocument/2006/relationships" ref="G31" r:id="rId49"/>
    <hyperlink xmlns:r="http://schemas.openxmlformats.org/officeDocument/2006/relationships" ref="H31" r:id="rId50"/>
    <hyperlink xmlns:r="http://schemas.openxmlformats.org/officeDocument/2006/relationships" ref="G32" r:id="rId51"/>
    <hyperlink xmlns:r="http://schemas.openxmlformats.org/officeDocument/2006/relationships" ref="H32" r:id="rId52"/>
    <hyperlink xmlns:r="http://schemas.openxmlformats.org/officeDocument/2006/relationships" ref="G33" r:id="rId53"/>
    <hyperlink xmlns:r="http://schemas.openxmlformats.org/officeDocument/2006/relationships" ref="H33" r:id="rId54"/>
    <hyperlink xmlns:r="http://schemas.openxmlformats.org/officeDocument/2006/relationships" ref="G34" r:id="rId55"/>
    <hyperlink xmlns:r="http://schemas.openxmlformats.org/officeDocument/2006/relationships" ref="H34" r:id="rId56"/>
    <hyperlink xmlns:r="http://schemas.openxmlformats.org/officeDocument/2006/relationships" ref="G35" r:id="rId57"/>
    <hyperlink xmlns:r="http://schemas.openxmlformats.org/officeDocument/2006/relationships" ref="H35" r:id="rId58"/>
    <hyperlink xmlns:r="http://schemas.openxmlformats.org/officeDocument/2006/relationships" ref="G36" r:id="rId59"/>
    <hyperlink xmlns:r="http://schemas.openxmlformats.org/officeDocument/2006/relationships" ref="H36" r:id="rId60"/>
    <hyperlink xmlns:r="http://schemas.openxmlformats.org/officeDocument/2006/relationships" ref="G37" r:id="rId61"/>
    <hyperlink xmlns:r="http://schemas.openxmlformats.org/officeDocument/2006/relationships" ref="H37" r:id="rId62"/>
    <hyperlink xmlns:r="http://schemas.openxmlformats.org/officeDocument/2006/relationships" ref="G38" r:id="rId63"/>
    <hyperlink xmlns:r="http://schemas.openxmlformats.org/officeDocument/2006/relationships" ref="H38" r:id="rId64"/>
    <hyperlink xmlns:r="http://schemas.openxmlformats.org/officeDocument/2006/relationships" ref="G39" r:id="rId65"/>
    <hyperlink xmlns:r="http://schemas.openxmlformats.org/officeDocument/2006/relationships" ref="H39" r:id="rId66"/>
    <hyperlink xmlns:r="http://schemas.openxmlformats.org/officeDocument/2006/relationships" ref="G40" r:id="rId67"/>
    <hyperlink xmlns:r="http://schemas.openxmlformats.org/officeDocument/2006/relationships" ref="H40" r:id="rId68"/>
    <hyperlink xmlns:r="http://schemas.openxmlformats.org/officeDocument/2006/relationships" ref="G41" r:id="rId69"/>
    <hyperlink xmlns:r="http://schemas.openxmlformats.org/officeDocument/2006/relationships" ref="H41" r:id="rId70"/>
    <hyperlink xmlns:r="http://schemas.openxmlformats.org/officeDocument/2006/relationships" ref="G42" r:id="rId71"/>
    <hyperlink xmlns:r="http://schemas.openxmlformats.org/officeDocument/2006/relationships" ref="H42" r:id="rId72"/>
    <hyperlink xmlns:r="http://schemas.openxmlformats.org/officeDocument/2006/relationships" ref="G43" r:id="rId73"/>
    <hyperlink xmlns:r="http://schemas.openxmlformats.org/officeDocument/2006/relationships" ref="H43" r:id="rId74"/>
    <hyperlink xmlns:r="http://schemas.openxmlformats.org/officeDocument/2006/relationships" ref="G44" r:id="rId75"/>
    <hyperlink xmlns:r="http://schemas.openxmlformats.org/officeDocument/2006/relationships" ref="H44" r:id="rId76"/>
    <hyperlink xmlns:r="http://schemas.openxmlformats.org/officeDocument/2006/relationships" ref="G45" r:id="rId77"/>
    <hyperlink xmlns:r="http://schemas.openxmlformats.org/officeDocument/2006/relationships" ref="H45" r:id="rId78"/>
    <hyperlink xmlns:r="http://schemas.openxmlformats.org/officeDocument/2006/relationships" ref="G46" r:id="rId79"/>
    <hyperlink xmlns:r="http://schemas.openxmlformats.org/officeDocument/2006/relationships" ref="H46" r:id="rId80"/>
    <hyperlink xmlns:r="http://schemas.openxmlformats.org/officeDocument/2006/relationships" ref="G47" r:id="rId81"/>
    <hyperlink xmlns:r="http://schemas.openxmlformats.org/officeDocument/2006/relationships" ref="H47" r:id="rId82"/>
    <hyperlink xmlns:r="http://schemas.openxmlformats.org/officeDocument/2006/relationships" ref="G48" r:id="rId83"/>
    <hyperlink xmlns:r="http://schemas.openxmlformats.org/officeDocument/2006/relationships" ref="H48" r:id="rId84"/>
    <hyperlink xmlns:r="http://schemas.openxmlformats.org/officeDocument/2006/relationships" ref="G49" r:id="rId85"/>
    <hyperlink xmlns:r="http://schemas.openxmlformats.org/officeDocument/2006/relationships" ref="H49" r:id="rId86"/>
    <hyperlink xmlns:r="http://schemas.openxmlformats.org/officeDocument/2006/relationships" ref="G50" r:id="rId87"/>
    <hyperlink xmlns:r="http://schemas.openxmlformats.org/officeDocument/2006/relationships" ref="H50" r:id="rId88"/>
    <hyperlink xmlns:r="http://schemas.openxmlformats.org/officeDocument/2006/relationships" ref="G51" r:id="rId89"/>
    <hyperlink xmlns:r="http://schemas.openxmlformats.org/officeDocument/2006/relationships" ref="H51" r:id="rId90"/>
    <hyperlink xmlns:r="http://schemas.openxmlformats.org/officeDocument/2006/relationships" ref="G52" r:id="rId91"/>
    <hyperlink xmlns:r="http://schemas.openxmlformats.org/officeDocument/2006/relationships" ref="H52" r:id="rId92"/>
    <hyperlink xmlns:r="http://schemas.openxmlformats.org/officeDocument/2006/relationships" ref="G53" r:id="rId93"/>
    <hyperlink xmlns:r="http://schemas.openxmlformats.org/officeDocument/2006/relationships" ref="H53" r:id="rId94"/>
    <hyperlink xmlns:r="http://schemas.openxmlformats.org/officeDocument/2006/relationships" ref="G54" r:id="rId95"/>
    <hyperlink xmlns:r="http://schemas.openxmlformats.org/officeDocument/2006/relationships" ref="H54" r:id="rId96"/>
    <hyperlink xmlns:r="http://schemas.openxmlformats.org/officeDocument/2006/relationships" ref="G55" r:id="rId97"/>
    <hyperlink xmlns:r="http://schemas.openxmlformats.org/officeDocument/2006/relationships" ref="H55" r:id="rId98"/>
    <hyperlink xmlns:r="http://schemas.openxmlformats.org/officeDocument/2006/relationships" ref="G56" r:id="rId99"/>
    <hyperlink xmlns:r="http://schemas.openxmlformats.org/officeDocument/2006/relationships" ref="H56" r:id="rId100"/>
    <hyperlink xmlns:r="http://schemas.openxmlformats.org/officeDocument/2006/relationships" ref="G57" r:id="rId101"/>
    <hyperlink xmlns:r="http://schemas.openxmlformats.org/officeDocument/2006/relationships" ref="H57" r:id="rId102"/>
    <hyperlink xmlns:r="http://schemas.openxmlformats.org/officeDocument/2006/relationships" ref="G58" r:id="rId103"/>
    <hyperlink xmlns:r="http://schemas.openxmlformats.org/officeDocument/2006/relationships" ref="H58" r:id="rId104"/>
    <hyperlink xmlns:r="http://schemas.openxmlformats.org/officeDocument/2006/relationships" ref="G59" r:id="rId105"/>
    <hyperlink xmlns:r="http://schemas.openxmlformats.org/officeDocument/2006/relationships" ref="H59" r:id="rId106"/>
    <hyperlink xmlns:r="http://schemas.openxmlformats.org/officeDocument/2006/relationships" ref="G60" r:id="rId107"/>
    <hyperlink xmlns:r="http://schemas.openxmlformats.org/officeDocument/2006/relationships" ref="H60" r:id="rId108"/>
    <hyperlink xmlns:r="http://schemas.openxmlformats.org/officeDocument/2006/relationships" ref="G61" r:id="rId109"/>
    <hyperlink xmlns:r="http://schemas.openxmlformats.org/officeDocument/2006/relationships" ref="H61" r:id="rId110"/>
    <hyperlink xmlns:r="http://schemas.openxmlformats.org/officeDocument/2006/relationships" ref="G62" r:id="rId111"/>
    <hyperlink xmlns:r="http://schemas.openxmlformats.org/officeDocument/2006/relationships" ref="H62" r:id="rId112"/>
    <hyperlink xmlns:r="http://schemas.openxmlformats.org/officeDocument/2006/relationships" ref="G63" r:id="rId113"/>
    <hyperlink xmlns:r="http://schemas.openxmlformats.org/officeDocument/2006/relationships" ref="H63" r:id="rId114"/>
    <hyperlink xmlns:r="http://schemas.openxmlformats.org/officeDocument/2006/relationships" ref="G64" r:id="rId115"/>
    <hyperlink xmlns:r="http://schemas.openxmlformats.org/officeDocument/2006/relationships" ref="H64" r:id="rId116"/>
    <hyperlink xmlns:r="http://schemas.openxmlformats.org/officeDocument/2006/relationships" ref="G65" r:id="rId117"/>
    <hyperlink xmlns:r="http://schemas.openxmlformats.org/officeDocument/2006/relationships" ref="H65" r:id="rId118"/>
    <hyperlink xmlns:r="http://schemas.openxmlformats.org/officeDocument/2006/relationships" ref="G66" r:id="rId119"/>
    <hyperlink xmlns:r="http://schemas.openxmlformats.org/officeDocument/2006/relationships" ref="H66" r:id="rId120"/>
    <hyperlink xmlns:r="http://schemas.openxmlformats.org/officeDocument/2006/relationships" ref="G67" r:id="rId121"/>
    <hyperlink xmlns:r="http://schemas.openxmlformats.org/officeDocument/2006/relationships" ref="H67" r:id="rId122"/>
    <hyperlink xmlns:r="http://schemas.openxmlformats.org/officeDocument/2006/relationships" ref="G68" r:id="rId123"/>
    <hyperlink xmlns:r="http://schemas.openxmlformats.org/officeDocument/2006/relationships" ref="H68" r:id="rId124"/>
    <hyperlink xmlns:r="http://schemas.openxmlformats.org/officeDocument/2006/relationships" ref="G69" r:id="rId125"/>
    <hyperlink xmlns:r="http://schemas.openxmlformats.org/officeDocument/2006/relationships" ref="H69" r:id="rId126"/>
    <hyperlink xmlns:r="http://schemas.openxmlformats.org/officeDocument/2006/relationships" ref="G70" r:id="rId127"/>
    <hyperlink xmlns:r="http://schemas.openxmlformats.org/officeDocument/2006/relationships" ref="H70" r:id="rId128"/>
    <hyperlink xmlns:r="http://schemas.openxmlformats.org/officeDocument/2006/relationships" ref="G71" r:id="rId129"/>
    <hyperlink xmlns:r="http://schemas.openxmlformats.org/officeDocument/2006/relationships" ref="H71" r:id="rId130"/>
    <hyperlink xmlns:r="http://schemas.openxmlformats.org/officeDocument/2006/relationships" ref="G72" r:id="rId131"/>
    <hyperlink xmlns:r="http://schemas.openxmlformats.org/officeDocument/2006/relationships" ref="H72" r:id="rId132"/>
    <hyperlink xmlns:r="http://schemas.openxmlformats.org/officeDocument/2006/relationships" ref="G73" r:id="rId133"/>
    <hyperlink xmlns:r="http://schemas.openxmlformats.org/officeDocument/2006/relationships" ref="H73" r:id="rId134"/>
    <hyperlink xmlns:r="http://schemas.openxmlformats.org/officeDocument/2006/relationships" ref="G74" r:id="rId135"/>
    <hyperlink xmlns:r="http://schemas.openxmlformats.org/officeDocument/2006/relationships" ref="H74" r:id="rId136"/>
    <hyperlink xmlns:r="http://schemas.openxmlformats.org/officeDocument/2006/relationships" ref="G75" r:id="rId137"/>
    <hyperlink xmlns:r="http://schemas.openxmlformats.org/officeDocument/2006/relationships" ref="H75" r:id="rId138"/>
  </hyperlink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2026-08-14T11:43:16Z</dcterms:created>
  <dcterms:modified xsi:type="dcterms:W3CDTF">2026-08-14T11:43:16Z</dcterms:modified>
</cp:coreProperties>
</file>